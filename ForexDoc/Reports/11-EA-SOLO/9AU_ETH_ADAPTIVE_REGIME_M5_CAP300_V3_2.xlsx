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3B9B79DC-14C5-463F-BC87-1296CE3230B6}" xr6:coauthVersionLast="47" xr6:coauthVersionMax="47" xr10:uidLastSave="{9E7A1E56-1160-4932-B433-57AD0D0A8DE6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7" i="1" l="1"/>
  <c r="Q106" i="1"/>
  <c r="Q105" i="1"/>
  <c r="J357" i="1"/>
  <c r="I357" i="1"/>
</calcChain>
</file>

<file path=xl/sharedStrings.xml><?xml version="1.0" encoding="utf-8"?>
<sst xmlns="http://schemas.openxmlformats.org/spreadsheetml/2006/main" count="1533" uniqueCount="362">
  <si>
    <t>Strategy Tester Report</t>
  </si>
  <si>
    <t>XMGlobal-MT5 7 (Build 5836)</t>
  </si>
  <si>
    <t>Settings</t>
  </si>
  <si>
    <t>Expert:</t>
  </si>
  <si>
    <t>Symbol:</t>
  </si>
  <si>
    <t>ETHUSD#</t>
  </si>
  <si>
    <t>Period:</t>
  </si>
  <si>
    <t>M5 (2023.10.02 - 2026.04.30)</t>
  </si>
  <si>
    <t>Inputs:</t>
  </si>
  <si>
    <t>InpMagicNumber=919296</t>
  </si>
  <si>
    <t>=== Step A: Filter (Buy) ====</t>
  </si>
  <si>
    <t>InpTrendEMA=200</t>
  </si>
  <si>
    <t>InpFilterTF=16388</t>
  </si>
  <si>
    <t>InpRSIPeriod=14</t>
  </si>
  <si>
    <t>InpRSILowerLevel=42.0</t>
  </si>
  <si>
    <t>InpRSIUpperLevel=68.0</t>
  </si>
  <si>
    <t>=== Step B: Buy Grid &amp; Lot ====</t>
  </si>
  <si>
    <t>InpEnableDynamicGrid=true</t>
  </si>
  <si>
    <t>InpATRPeriod=14</t>
  </si>
  <si>
    <t>InpATRMultiplier=8.0</t>
  </si>
  <si>
    <t>InpInitialLot=0.02</t>
  </si>
  <si>
    <t>InpBaseMultiplier=1.15</t>
  </si>
  <si>
    <t>InpReductionStep=0.05</t>
  </si>
  <si>
    <t>InpMinMultiplier=1.05</t>
  </si>
  <si>
    <t>InpMaxOrders=2</t>
  </si>
  <si>
    <t>=== Step B2: Sell Grid (Conservative) ====</t>
  </si>
  <si>
    <t>InpEnableSell=false</t>
  </si>
  <si>
    <t>InpSellInitialLot=0.02</t>
  </si>
  <si>
    <t>InpSellATRMultiplier=10.5</t>
  </si>
  <si>
    <t>InpSellBaseMultiplier=1.05</t>
  </si>
  <si>
    <t>InpSellReductionStep=0.02</t>
  </si>
  <si>
    <t>InpSellMinMultiplier=1.02</t>
  </si>
  <si>
    <t>InpSellMaxOrders=5</t>
  </si>
  <si>
    <t>InpSellBasketTP=30.0</t>
  </si>
  <si>
    <t>InpSellHardSLMultiplier=3.0</t>
  </si>
  <si>
    <t>InpSellTrailStartUSD=12.0</t>
  </si>
  <si>
    <t>InpSellTrailStepATR=1.5</t>
  </si>
  <si>
    <t>=== Step I: Sell Regime Filter ====</t>
  </si>
  <si>
    <t>InpADXPeriod=14</t>
  </si>
  <si>
    <t>InpADXTrendHigh=28.0</t>
  </si>
  <si>
    <t>InpEMA50Period=50</t>
  </si>
  <si>
    <t>InpEMASlopeATRMult=0.08</t>
  </si>
  <si>
    <t>InpEMASlopeLookback=20</t>
  </si>
  <si>
    <t>InpRSITrendLow=43.0</t>
  </si>
  <si>
    <t>InpRSITrendHigh=57.0</t>
  </si>
  <si>
    <t>InpSellMinATRMult=1.2</t>
  </si>
  <si>
    <t>InpAvgATRPeriod=50</t>
  </si>
  <si>
    <t>InpResistLookback=96</t>
  </si>
  <si>
    <t>InpResistBuffer=0.003</t>
  </si>
  <si>
    <t>=== Step C: Profit &amp; Exit ====</t>
  </si>
  <si>
    <t>InpBasketTP=50.0</t>
  </si>
  <si>
    <t>InpEnablePartialClose=true</t>
  </si>
  <si>
    <t>InpPartialCloseLevel=0.7</t>
  </si>
  <si>
    <t>InpHardSLMultiplier=7.0</t>
  </si>
  <si>
    <t>InpMinHoldBars=12</t>
  </si>
  <si>
    <t>=== Step K: Buy Quality Gate (v3.2) ====</t>
  </si>
  <si>
    <t>InpCooldownBarsAfterSL=48</t>
  </si>
  <si>
    <t>InpBuyMinATRMult=0.85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</si>
  <si>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</si>
  <si>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</si>
  <si>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</si>
  <si>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</si>
  <si>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</si>
  <si>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</si>
  <si>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InpEnableEquityStop=false</t>
  </si>
  <si>
    <t>InpMaxDrawdownPercent=25.0</t>
  </si>
  <si>
    <t>InpTrailStartUSD=25.0</t>
  </si>
  <si>
    <t>InpTrailStepATR=2.0</t>
  </si>
  <si>
    <t>InpMaxHoldDays=60</t>
  </si>
  <si>
    <t>InpMinATRThreshold=3.5</t>
  </si>
  <si>
    <t>InpMaxSpreadBase=345.0</t>
  </si>
  <si>
    <t>InpMaxSpreadHighVol=420.0</t>
  </si>
  <si>
    <t>InpMaxExposurePercent=12.5</t>
  </si>
  <si>
    <t>InpMinMarginLevel=700.0</t>
  </si>
  <si>
    <t>=== Step F: Time Filter ====</t>
  </si>
  <si>
    <t>EnableTimeFilter=false</t>
  </si>
  <si>
    <t>TradingStartHour=6</t>
  </si>
  <si>
    <t>TradingEndHour=2</t>
  </si>
  <si>
    <t>StopFridayAfterClose=true</t>
  </si>
  <si>
    <t>FridayCloseHour=18</t>
  </si>
  <si>
    <t>=== Step G: Daily Loss Limit ====</t>
  </si>
  <si>
    <t>EnableDailyLossLimit=true</t>
  </si>
  <si>
    <t>MaxDailyLossPercent=2.25</t>
  </si>
  <si>
    <t>InpDailyLossCloseAllPercent=5.0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</si>
  <si>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</si>
  <si>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</si>
  <si>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</si>
  <si>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</si>
  <si>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</si>
  <si>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</si>
  <si>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</si>
  <si>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=== Step L: House Money &amp; Compound ====</t>
  </si>
  <si>
    <t>InpEnableHouseMoney=false</t>
  </si>
  <si>
    <t>InpHouseMoneyTarget=2.0</t>
  </si>
  <si>
    <t>InpEnableCompound=true</t>
  </si>
  <si>
    <t>InpCompoundStartMultiple=1.5</t>
  </si>
  <si>
    <t>InpCompoundMaxLot=0.1</t>
  </si>
  <si>
    <t>InpCompoundDailyLossClose=3.0</t>
  </si>
  <si>
    <t>InpCompoundDDSoftBrake=20.0</t>
  </si>
  <si>
    <t>InpCompoundMaxDD=28.0</t>
  </si>
  <si>
    <t>=== Step J: Diagnostic ====</t>
  </si>
  <si>
    <t>InpDiagnosticLog=true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</si>
  <si>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</si>
  <si>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</si>
  <si>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</si>
  <si>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</si>
  <si>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</si>
  <si>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</si>
  <si>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</si>
  <si>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</si>
  <si>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</si>
  <si>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</si>
  <si>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</si>
  <si>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</si>
  <si>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</si>
  <si>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</si>
  <si>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</si>
  <si>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</si>
  <si>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</si>
  <si>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</si>
  <si>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26.46 (7.33%)</t>
  </si>
  <si>
    <t>Equity Drawdown Maximal:</t>
  </si>
  <si>
    <t>31.04 (8.50%)</t>
  </si>
  <si>
    <t>Gross Loss:</t>
  </si>
  <si>
    <t>Balance Drawdown Relative:</t>
  </si>
  <si>
    <t>7.33% (26.46)</t>
  </si>
  <si>
    <t>Equity Drawdown Relative:</t>
  </si>
  <si>
    <t>8.50% (31.04)</t>
  </si>
  <si>
    <t>Profit Factor:</t>
  </si>
  <si>
    <t>Expected Payoff:</t>
  </si>
  <si>
    <t>Margin Level:</t>
  </si>
  <si>
    <t>321230.00%</t>
  </si>
  <si>
    <t>Recovery Factor:</t>
  </si>
  <si>
    <t>Sharpe Ratio:</t>
  </si>
  <si>
    <t>Z-Score:</t>
  </si>
  <si>
    <t>0.40 (31.08%)</t>
  </si>
  <si>
    <t>AHPR:</t>
  </si>
  <si>
    <t>1.0024 (0.24%)</t>
  </si>
  <si>
    <t>LR Correlation:</t>
  </si>
  <si>
    <t>OnTester result:</t>
  </si>
  <si>
    <t>0</t>
  </si>
  <si>
    <t>GHPR:</t>
  </si>
  <si>
    <t>1.0022 (0.22%)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</si>
  <si>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</si>
  <si>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</si>
  <si>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</si>
  <si>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</si>
  <si>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</si>
  <si>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0:12:40</t>
  </si>
  <si>
    <t>Maximal position holding time:</t>
  </si>
  <si>
    <t>1056:04:58</t>
  </si>
  <si>
    <t>Average position holding time:</t>
  </si>
  <si>
    <t>87:10:15</t>
  </si>
  <si>
    <t>Total Trades:</t>
  </si>
  <si>
    <t>Short Trades (won %):</t>
  </si>
  <si>
    <t>0 (0.00%)</t>
  </si>
  <si>
    <t>Long Trades (won %):</t>
  </si>
  <si>
    <t>51 (9.80%)</t>
  </si>
  <si>
    <t>Total Deals:</t>
  </si>
  <si>
    <t>Profit Trades (% of total):</t>
  </si>
  <si>
    <t>5 (9.80%)</t>
  </si>
  <si>
    <t>Loss Trades (% of total):</t>
  </si>
  <si>
    <t>46 (90.20%)</t>
  </si>
  <si>
    <t>Largest profit trade:</t>
  </si>
  <si>
    <t>Largest loss trade:</t>
  </si>
  <si>
    <t>Average profit trade:</t>
  </si>
  <si>
    <t>Average loss trade:</t>
  </si>
  <si>
    <t>Maximum consecutive wins ($):</t>
  </si>
  <si>
    <t>1 (24.63)</t>
  </si>
  <si>
    <t>Maximum consecutive losses ($):</t>
  </si>
  <si>
    <t>24 (-26.46)</t>
  </si>
  <si>
    <t>Maximal consecutive profit (count):</t>
  </si>
  <si>
    <t>24.63 (1)</t>
  </si>
  <si>
    <t>Maximal consecutive loss (count):</t>
  </si>
  <si>
    <t>-26.46 (24)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</si>
  <si>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</si>
  <si>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</si>
  <si>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</si>
  <si>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</si>
  <si>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</si>
  <si>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</si>
  <si>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</si>
  <si>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</si>
  <si>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</si>
  <si>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</si>
  <si>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</si>
  <si>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</si>
  <si>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</si>
  <si>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</si>
  <si>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2023.10.02 17:05:00</t>
  </si>
  <si>
    <t>buy</t>
  </si>
  <si>
    <t>0.02 / 0.02</t>
  </si>
  <si>
    <t>filled</t>
  </si>
  <si>
    <t>9AU_ETH_BUY</t>
  </si>
  <si>
    <t>2023.10.02 18:50:05</t>
  </si>
  <si>
    <t>sell</t>
  </si>
  <si>
    <t>sl 1691.48</t>
  </si>
  <si>
    <t>2023.10.23 13:00:02</t>
  </si>
  <si>
    <t>2023.12.22 13:05:00</t>
  </si>
  <si>
    <t>2023.12.22 18:50:00</t>
  </si>
  <si>
    <t>2023.12.24 22:55:00</t>
  </si>
  <si>
    <t>2023.12.25 00:15:01</t>
  </si>
  <si>
    <t>sl 2260.80</t>
  </si>
  <si>
    <t>2023.12.25 00:15:05</t>
  </si>
  <si>
    <t>sl 2254.34</t>
  </si>
  <si>
    <t>2023.12.26 08:35:03</t>
  </si>
  <si>
    <t>2023.12.26 19:39:42</t>
  </si>
  <si>
    <t>sl 2178.29</t>
  </si>
  <si>
    <t>2023.12.28 09:35:00</t>
  </si>
  <si>
    <t>2023.12.29 03:01:30</t>
  </si>
  <si>
    <t>sl 2325.95</t>
  </si>
  <si>
    <t>2023.12.29 19:15:01</t>
  </si>
  <si>
    <t>2024.01.03 14:01:41</t>
  </si>
  <si>
    <t>sl 2233.98</t>
  </si>
  <si>
    <t>2024.01.06 07:35:00</t>
  </si>
  <si>
    <t>2024.01.06 08:56:10</t>
  </si>
  <si>
    <t>sl 2218.85</t>
  </si>
  <si>
    <t>2024.01.09 15:40:00</t>
  </si>
  <si>
    <t>2024.01.23 16:00:06</t>
  </si>
  <si>
    <t>sl 2188.94</t>
  </si>
  <si>
    <t>2024.02.09 21:10:00</t>
  </si>
  <si>
    <t>2024.03.05 18:06:57</t>
  </si>
  <si>
    <t>sl 3736.32</t>
  </si>
  <si>
    <t>2025.04.24 03:50:00</t>
  </si>
  <si>
    <t>2025.04.24 07:09:45</t>
  </si>
  <si>
    <t>sl 1759.15</t>
  </si>
  <si>
    <t>2025.04.26 14:55:03</t>
  </si>
  <si>
    <t>2025.04.28 19:18:51</t>
  </si>
  <si>
    <t>sl 1750.87</t>
  </si>
  <si>
    <t>2025.04.30 02:10:03</t>
  </si>
  <si>
    <t>2025.04.30 16:15:10</t>
  </si>
  <si>
    <t>sl 1757.87</t>
  </si>
  <si>
    <t>2025.05.04 05:45:01</t>
  </si>
  <si>
    <t>2025.05.05 02:30:19</t>
  </si>
  <si>
    <t>sl 1803.63</t>
  </si>
  <si>
    <t>2025.05.06 05:45:01</t>
  </si>
  <si>
    <t>2025.05.06 14:31:16</t>
  </si>
  <si>
    <t>sl 1772.69</t>
  </si>
  <si>
    <t>2025.05.09 18:05:00</t>
  </si>
  <si>
    <t>2025.06.22 16:28:10</t>
  </si>
  <si>
    <t>sl 2166.42</t>
  </si>
  <si>
    <t>2025.07.03 13:20:00</t>
  </si>
  <si>
    <t>2025.07.04 10:20:00</t>
  </si>
  <si>
    <t>2025.07.04 10:51:54</t>
  </si>
  <si>
    <t>sl 2535.05</t>
  </si>
  <si>
    <t>2025.07.04 17:07:45</t>
  </si>
  <si>
    <t>sl 2516.63</t>
  </si>
  <si>
    <t>2025.07.07 09:05:02</t>
  </si>
  <si>
    <t>2025.07.07 16:17:36</t>
  </si>
  <si>
    <t>sl 2541.73</t>
  </si>
  <si>
    <t>2025.07.09 04:40:01</t>
  </si>
  <si>
    <t>2025.07.27 21:47:44</t>
  </si>
  <si>
    <t>sl 3843.47</t>
  </si>
  <si>
    <t>2025.07.28 18:00:00</t>
  </si>
  <si>
    <t>2025.07.30 22:06:10</t>
  </si>
  <si>
    <t>sl 3677.24</t>
  </si>
  <si>
    <t>2025.07.31 22:55:00</t>
  </si>
  <si>
    <t>2025.08.01 03:12:12</t>
  </si>
  <si>
    <t>sl 3667.99</t>
  </si>
  <si>
    <t>2025.08.01 16:55:00</t>
  </si>
  <si>
    <t>2025.08.02 01:27:43</t>
  </si>
  <si>
    <t>sl 3486.35</t>
  </si>
  <si>
    <t>2025.08.02 21:05:01</t>
  </si>
  <si>
    <t>2025.08.03 03:37:50</t>
  </si>
  <si>
    <t>sl 3356.91</t>
  </si>
  <si>
    <t>2025.08.05 06:30:00</t>
  </si>
  <si>
    <t>2025.08.05 10:37:06</t>
  </si>
  <si>
    <t>sl 3612.78</t>
  </si>
  <si>
    <t>2025.08.06 13:20:00</t>
  </si>
  <si>
    <t>2025.08.23 01:08:25</t>
  </si>
  <si>
    <t>sl 4833.96</t>
  </si>
  <si>
    <t>2025.08.24 00:30:00</t>
  </si>
  <si>
    <t>2025.08.25 03:39:47</t>
  </si>
  <si>
    <t>sl 4704.59</t>
  </si>
  <si>
    <t>2025.08.25 13:30:00</t>
  </si>
  <si>
    <t>2025.08.25 22:55:34</t>
  </si>
  <si>
    <t>sl 4447.71</t>
  </si>
  <si>
    <t>2025.08.27 11:40:00</t>
  </si>
  <si>
    <t>2025.08.28 01:02:02</t>
  </si>
  <si>
    <t>sl 4504.53</t>
  </si>
  <si>
    <t>2025.08.28 20:20:00</t>
  </si>
  <si>
    <t>2025.08.29 10:19:13</t>
  </si>
  <si>
    <t>sl 4376.75</t>
  </si>
  <si>
    <t>2025.08.30 04:30:00</t>
  </si>
  <si>
    <t>2025.08.30 04:59:14</t>
  </si>
  <si>
    <t>sl 4267.21</t>
  </si>
  <si>
    <t>2025.08.31 14:10:04</t>
  </si>
  <si>
    <t>2025.09.01 02:30:16</t>
  </si>
  <si>
    <t>sl 4401.09</t>
  </si>
  <si>
    <t>2025.09.01 18:15:01</t>
  </si>
  <si>
    <t>2025.09.01 23:38:39</t>
  </si>
  <si>
    <t>sl 4307.05</t>
  </si>
  <si>
    <t>2025.09.02 15:55:00</t>
  </si>
  <si>
    <t>2025.09.22 09:00:06</t>
  </si>
  <si>
    <t>sl 4171.75</t>
  </si>
  <si>
    <t>2025.10.03 10:50:00</t>
  </si>
  <si>
    <t>2025.10.08 07:10:52</t>
  </si>
  <si>
    <t>sl 4414.94</t>
  </si>
  <si>
    <t>2025.10.09 09:30:01</t>
  </si>
  <si>
    <t>2025.10.09 11:15:48</t>
  </si>
  <si>
    <t>sl 4381.91</t>
  </si>
  <si>
    <t>2025.10.27 22:15:00</t>
  </si>
  <si>
    <t>2025.10.28 07:53:37</t>
  </si>
  <si>
    <t>sl 4066.60</t>
  </si>
  <si>
    <t>2025.12.10 13:45:00</t>
  </si>
  <si>
    <t>2025.12.11 03:04:19</t>
  </si>
  <si>
    <t>sl 3256.47</t>
  </si>
  <si>
    <t>2025.12.12 16:30:00</t>
  </si>
  <si>
    <t>2025.12.12 17:24:40</t>
  </si>
  <si>
    <t>sl 3190.10</t>
  </si>
  <si>
    <t>2026.01.05 08:35:00</t>
  </si>
  <si>
    <t>2026.01.08 08:24:58</t>
  </si>
  <si>
    <t>sl 3114.20</t>
  </si>
  <si>
    <t>2026.01.09 03:25:01</t>
  </si>
  <si>
    <t>2026.01.09 03:37:41</t>
  </si>
  <si>
    <t>sl 3081.86</t>
  </si>
  <si>
    <t>2026.01.12 09:50:00</t>
  </si>
  <si>
    <t>2026.01.12 10:37:28</t>
  </si>
  <si>
    <t>sl 3107.86</t>
  </si>
  <si>
    <t>2026.01.13 01:05:00</t>
  </si>
  <si>
    <t>2026.01.20 16:19:53</t>
  </si>
  <si>
    <t>sl 3056.10</t>
  </si>
  <si>
    <t>2026.03.16 10:50:01</t>
  </si>
  <si>
    <t>2026.03.18 16:53:12</t>
  </si>
  <si>
    <t>sl 2200.08</t>
  </si>
  <si>
    <t>2026.03.19 08:35:00</t>
  </si>
  <si>
    <t>2026.03.19 09:21:10</t>
  </si>
  <si>
    <t>sl 2151.38</t>
  </si>
  <si>
    <t>2026.03.20 11:45:00</t>
  </si>
  <si>
    <t>2026.03.22 01:51:34</t>
  </si>
  <si>
    <t>sl 2113.66</t>
  </si>
  <si>
    <t>2026.03.25 17:00:00</t>
  </si>
  <si>
    <t>2026.03.26 07:44:32</t>
  </si>
  <si>
    <t>sl 2132.56</t>
  </si>
  <si>
    <t>2026.04.06 20:55:00</t>
  </si>
  <si>
    <t>2026.04.07 02:07:39</t>
  </si>
  <si>
    <t>sl 2086.68</t>
  </si>
  <si>
    <t>2026.04.08 22:10:00</t>
  </si>
  <si>
    <t>2026.04.09 04:08:16</t>
  </si>
  <si>
    <t>sl 2166.02</t>
  </si>
  <si>
    <t>2026.04.12 02:10:00</t>
  </si>
  <si>
    <t>2026.04.12 04:38:50</t>
  </si>
  <si>
    <t>sl 2242.88</t>
  </si>
  <si>
    <t>2026.04.12 17:15:00</t>
  </si>
  <si>
    <t>2026.04.29 23:59:55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</si>
  <si>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</si>
  <si>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</si>
  <si>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</si>
  <si>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</si>
  <si>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</si>
  <si>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</si>
  <si>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</si>
  <si>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</si>
  <si>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</si>
  <si>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</si>
  <si>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</si>
  <si>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0.02</t>
  </si>
  <si>
    <t>out</t>
  </si>
  <si>
    <t>MAX</t>
  </si>
  <si>
    <t>MIN</t>
  </si>
  <si>
    <t>AVG</t>
  </si>
  <si>
    <t>9AU_ETH_ADAPTIVE_REGIME_M5_CAP300_V3_2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</si>
</sst>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Sheet1!$A$254:$A$356</c:f>
              <c:strCache>
                <c:ptCount val="103"/>
                <c:pt idx="0">
                  <c:v>2023.10.02 00:00:00</c:v>
                </c:pt>
                <c:pt idx="1">
                  <c:v>2023.10.02 17:05:00</c:v>
                </c:pt>
                <c:pt idx="2">
                  <c:v>2023.10.02 18:50:05</c:v>
                </c:pt>
                <c:pt idx="3">
                  <c:v>2023.10.23 13:00:02</c:v>
                </c:pt>
                <c:pt idx="4">
                  <c:v>2023.12.22 13:05:00</c:v>
                </c:pt>
                <c:pt idx="5">
                  <c:v>2023.12.22 18:50:00</c:v>
                </c:pt>
                <c:pt idx="6">
                  <c:v>2023.12.24 22:55:00</c:v>
                </c:pt>
                <c:pt idx="7">
                  <c:v>2023.12.25 00:15:01</c:v>
                </c:pt>
                <c:pt idx="8">
                  <c:v>2023.12.25 00:15:05</c:v>
                </c:pt>
                <c:pt idx="9">
                  <c:v>2023.12.26 08:35:03</c:v>
                </c:pt>
                <c:pt idx="10">
                  <c:v>2023.12.26 19:39:42</c:v>
                </c:pt>
                <c:pt idx="11">
                  <c:v>2023.12.28 09:35:00</c:v>
                </c:pt>
                <c:pt idx="12">
                  <c:v>2023.12.29 03:01:30</c:v>
                </c:pt>
                <c:pt idx="13">
                  <c:v>2023.12.29 19:15:01</c:v>
                </c:pt>
                <c:pt idx="14">
                  <c:v>2024.01.03 14:01:41</c:v>
                </c:pt>
                <c:pt idx="15">
                  <c:v>2024.01.06 07:35:00</c:v>
                </c:pt>
                <c:pt idx="16">
                  <c:v>2024.01.06 08:56:10</c:v>
                </c:pt>
                <c:pt idx="17">
                  <c:v>2024.01.09 15:40:00</c:v>
                </c:pt>
                <c:pt idx="18">
                  <c:v>2024.01.23 16:00:06</c:v>
                </c:pt>
                <c:pt idx="19">
                  <c:v>2024.02.09 21:10:00</c:v>
                </c:pt>
                <c:pt idx="20">
                  <c:v>2024.03.05 18:06:57</c:v>
                </c:pt>
                <c:pt idx="21">
                  <c:v>2025.04.24 03:50:00</c:v>
                </c:pt>
                <c:pt idx="22">
                  <c:v>2025.04.24 07:09:45</c:v>
                </c:pt>
                <c:pt idx="23">
                  <c:v>2025.04.26 14:55:03</c:v>
                </c:pt>
                <c:pt idx="24">
                  <c:v>2025.04.28 19:18:51</c:v>
                </c:pt>
                <c:pt idx="25">
                  <c:v>2025.04.30 02:10:03</c:v>
                </c:pt>
                <c:pt idx="26">
                  <c:v>2025.04.30 16:15:10</c:v>
                </c:pt>
                <c:pt idx="27">
                  <c:v>2025.05.04 05:45:01</c:v>
                </c:pt>
                <c:pt idx="28">
                  <c:v>2025.05.05 02:30:19</c:v>
                </c:pt>
                <c:pt idx="29">
                  <c:v>2025.05.06 05:45:01</c:v>
                </c:pt>
                <c:pt idx="30">
                  <c:v>2025.05.06 14:31:16</c:v>
                </c:pt>
                <c:pt idx="31">
                  <c:v>2025.05.09 18:05:00</c:v>
                </c:pt>
                <c:pt idx="32">
                  <c:v>2025.06.22 16:28:10</c:v>
                </c:pt>
                <c:pt idx="33">
                  <c:v>2025.07.03 13:20:00</c:v>
                </c:pt>
                <c:pt idx="34">
                  <c:v>2025.07.04 10:20:00</c:v>
                </c:pt>
                <c:pt idx="35">
                  <c:v>2025.07.04 10:51:54</c:v>
                </c:pt>
                <c:pt idx="36">
                  <c:v>2025.07.04 17:07:45</c:v>
                </c:pt>
                <c:pt idx="37">
                  <c:v>2025.07.07 09:05:02</c:v>
                </c:pt>
                <c:pt idx="38">
                  <c:v>2025.07.07 16:17:36</c:v>
                </c:pt>
                <c:pt idx="39">
                  <c:v>2025.07.09 04:40:01</c:v>
                </c:pt>
                <c:pt idx="40">
                  <c:v>2025.07.27 21:47:44</c:v>
                </c:pt>
                <c:pt idx="41">
                  <c:v>2025.07.28 18:00:00</c:v>
                </c:pt>
                <c:pt idx="42">
                  <c:v>2025.07.30 22:06:10</c:v>
                </c:pt>
                <c:pt idx="43">
                  <c:v>2025.07.31 22:55:00</c:v>
                </c:pt>
                <c:pt idx="44">
                  <c:v>2025.08.01 03:12:12</c:v>
                </c:pt>
                <c:pt idx="45">
                  <c:v>2025.08.01 16:55:00</c:v>
                </c:pt>
                <c:pt idx="46">
                  <c:v>2025.08.02 01:27:43</c:v>
                </c:pt>
                <c:pt idx="47">
                  <c:v>2025.08.02 21:05:01</c:v>
                </c:pt>
                <c:pt idx="48">
                  <c:v>2025.08.03 03:37:50</c:v>
                </c:pt>
                <c:pt idx="49">
                  <c:v>2025.08.05 06:30:00</c:v>
                </c:pt>
                <c:pt idx="50">
                  <c:v>2025.08.05 10:37:06</c:v>
                </c:pt>
                <c:pt idx="51">
                  <c:v>2025.08.06 13:20:00</c:v>
                </c:pt>
                <c:pt idx="52">
                  <c:v>2025.08.23 01:08:25</c:v>
                </c:pt>
                <c:pt idx="53">
                  <c:v>2025.08.24 00:30:00</c:v>
                </c:pt>
                <c:pt idx="54">
                  <c:v>2025.08.25 03:39:47</c:v>
                </c:pt>
                <c:pt idx="55">
                  <c:v>2025.08.25 13:30:00</c:v>
                </c:pt>
                <c:pt idx="56">
                  <c:v>2025.08.25 22:55:34</c:v>
                </c:pt>
                <c:pt idx="57">
                  <c:v>2025.08.27 11:40:00</c:v>
                </c:pt>
                <c:pt idx="58">
                  <c:v>2025.08.28 01:02:02</c:v>
                </c:pt>
                <c:pt idx="59">
                  <c:v>2025.08.28 20:20:00</c:v>
                </c:pt>
                <c:pt idx="60">
                  <c:v>2025.08.29 10:19:13</c:v>
                </c:pt>
                <c:pt idx="61">
                  <c:v>2025.08.30 04:30:00</c:v>
                </c:pt>
                <c:pt idx="62">
                  <c:v>2025.08.30 04:59:14</c:v>
                </c:pt>
                <c:pt idx="63">
                  <c:v>2025.08.31 14:10:04</c:v>
                </c:pt>
                <c:pt idx="64">
                  <c:v>2025.09.01 02:30:16</c:v>
                </c:pt>
                <c:pt idx="65">
                  <c:v>2025.09.01 18:15:01</c:v>
                </c:pt>
                <c:pt idx="66">
                  <c:v>2025.09.01 23:38:39</c:v>
                </c:pt>
                <c:pt idx="67">
                  <c:v>2025.09.02 15:55:00</c:v>
                </c:pt>
                <c:pt idx="68">
                  <c:v>2025.09.22 09:00:06</c:v>
                </c:pt>
                <c:pt idx="69">
                  <c:v>2025.10.03 10:50:00</c:v>
                </c:pt>
                <c:pt idx="70">
                  <c:v>2025.10.08 07:10:52</c:v>
                </c:pt>
                <c:pt idx="71">
                  <c:v>2025.10.09 09:30:01</c:v>
                </c:pt>
                <c:pt idx="72">
                  <c:v>2025.10.09 11:15:48</c:v>
                </c:pt>
                <c:pt idx="73">
                  <c:v>2025.10.27 22:15:00</c:v>
                </c:pt>
                <c:pt idx="74">
                  <c:v>2025.10.28 07:53:37</c:v>
                </c:pt>
                <c:pt idx="75">
                  <c:v>2025.12.10 13:45:00</c:v>
                </c:pt>
                <c:pt idx="76">
                  <c:v>2025.12.11 03:04:19</c:v>
                </c:pt>
                <c:pt idx="77">
                  <c:v>2025.12.12 16:30:00</c:v>
                </c:pt>
                <c:pt idx="78">
                  <c:v>2025.12.12 17:24:40</c:v>
                </c:pt>
                <c:pt idx="79">
                  <c:v>2026.01.05 08:35:00</c:v>
                </c:pt>
                <c:pt idx="80">
                  <c:v>2026.01.08 08:24:58</c:v>
                </c:pt>
                <c:pt idx="81">
                  <c:v>2026.01.09 03:25:01</c:v>
                </c:pt>
                <c:pt idx="82">
                  <c:v>2026.01.09 03:37:41</c:v>
                </c:pt>
                <c:pt idx="83">
                  <c:v>2026.01.12 09:50:00</c:v>
                </c:pt>
                <c:pt idx="84">
                  <c:v>2026.01.12 10:37:28</c:v>
                </c:pt>
                <c:pt idx="85">
                  <c:v>2026.01.13 01:05:00</c:v>
                </c:pt>
                <c:pt idx="86">
                  <c:v>2026.01.20 16:19:53</c:v>
                </c:pt>
                <c:pt idx="87">
                  <c:v>2026.03.16 10:50:01</c:v>
                </c:pt>
                <c:pt idx="88">
                  <c:v>2026.03.18 16:53:12</c:v>
                </c:pt>
                <c:pt idx="89">
                  <c:v>2026.03.19 08:35:00</c:v>
                </c:pt>
                <c:pt idx="90">
                  <c:v>2026.03.19 09:21:10</c:v>
                </c:pt>
                <c:pt idx="91">
                  <c:v>2026.03.20 11:45:00</c:v>
                </c:pt>
                <c:pt idx="92">
                  <c:v>2026.03.22 01:51:34</c:v>
                </c:pt>
                <c:pt idx="93">
                  <c:v>2026.03.25 17:00:00</c:v>
                </c:pt>
                <c:pt idx="94">
                  <c:v>2026.03.26 07:44:32</c:v>
                </c:pt>
                <c:pt idx="95">
                  <c:v>2026.04.06 20:55:00</c:v>
                </c:pt>
                <c:pt idx="96">
                  <c:v>2026.04.07 02:07:39</c:v>
                </c:pt>
                <c:pt idx="97">
                  <c:v>2026.04.08 22:10:00</c:v>
                </c:pt>
                <c:pt idx="98">
                  <c:v>2026.04.09 04:08:16</c:v>
                </c:pt>
                <c:pt idx="99">
                  <c:v>2026.04.12 02:10:00</c:v>
                </c:pt>
                <c:pt idx="100">
                  <c:v>2026.04.12 04:38:50</c:v>
                </c:pt>
                <c:pt idx="101">
                  <c:v>2026.04.12 17:15:00</c:v>
                </c:pt>
                <c:pt idx="102">
                  <c:v>2026.04.29 23:59:55</c:v>
                </c:pt>
              </c:strCache>
            </c:strRef>
          </c:cat>
          <c:val>
            <c:numRef>
              <c:f>Sheet1!$L$254:$L$356</c:f>
              <c:numCache>
                <c:formatCode>#\ ##0.00;\-#\ ##0.00;0.00;</c:formatCode>
                <c:ptCount val="103"/>
                <c:pt idx="0">
                  <c:v>300</c:v>
                </c:pt>
                <c:pt idx="1">
                  <c:v>300</c:v>
                </c:pt>
                <c:pt idx="2">
                  <c:v>299.43</c:v>
                </c:pt>
                <c:pt idx="3">
                  <c:v>299.43</c:v>
                </c:pt>
                <c:pt idx="4">
                  <c:v>311.62</c:v>
                </c:pt>
                <c:pt idx="5">
                  <c:v>311.62</c:v>
                </c:pt>
                <c:pt idx="6">
                  <c:v>311.62</c:v>
                </c:pt>
                <c:pt idx="7">
                  <c:v>310.63</c:v>
                </c:pt>
                <c:pt idx="8">
                  <c:v>310.13</c:v>
                </c:pt>
                <c:pt idx="9">
                  <c:v>310.13</c:v>
                </c:pt>
                <c:pt idx="10">
                  <c:v>309.02999999999997</c:v>
                </c:pt>
                <c:pt idx="11">
                  <c:v>309.02999999999997</c:v>
                </c:pt>
                <c:pt idx="12">
                  <c:v>308</c:v>
                </c:pt>
                <c:pt idx="13">
                  <c:v>308</c:v>
                </c:pt>
                <c:pt idx="14">
                  <c:v>306.52999999999997</c:v>
                </c:pt>
                <c:pt idx="15">
                  <c:v>306.52999999999997</c:v>
                </c:pt>
                <c:pt idx="16">
                  <c:v>306.02999999999997</c:v>
                </c:pt>
                <c:pt idx="17">
                  <c:v>306.02999999999997</c:v>
                </c:pt>
                <c:pt idx="18">
                  <c:v>304.22000000000003</c:v>
                </c:pt>
                <c:pt idx="19">
                  <c:v>304.22000000000003</c:v>
                </c:pt>
                <c:pt idx="20">
                  <c:v>328.81</c:v>
                </c:pt>
                <c:pt idx="21">
                  <c:v>328.81</c:v>
                </c:pt>
                <c:pt idx="22">
                  <c:v>328.2</c:v>
                </c:pt>
                <c:pt idx="23">
                  <c:v>328.2</c:v>
                </c:pt>
                <c:pt idx="24">
                  <c:v>327.5</c:v>
                </c:pt>
                <c:pt idx="25">
                  <c:v>327.5</c:v>
                </c:pt>
                <c:pt idx="26">
                  <c:v>326.91000000000003</c:v>
                </c:pt>
                <c:pt idx="27">
                  <c:v>326.91000000000003</c:v>
                </c:pt>
                <c:pt idx="28">
                  <c:v>326.3</c:v>
                </c:pt>
                <c:pt idx="29">
                  <c:v>326.3</c:v>
                </c:pt>
                <c:pt idx="30">
                  <c:v>325.74</c:v>
                </c:pt>
                <c:pt idx="31">
                  <c:v>325.74</c:v>
                </c:pt>
                <c:pt idx="32">
                  <c:v>322.57</c:v>
                </c:pt>
                <c:pt idx="33">
                  <c:v>322.57</c:v>
                </c:pt>
                <c:pt idx="34">
                  <c:v>322.57</c:v>
                </c:pt>
                <c:pt idx="35">
                  <c:v>321.44</c:v>
                </c:pt>
                <c:pt idx="36">
                  <c:v>320.81</c:v>
                </c:pt>
                <c:pt idx="37">
                  <c:v>320.81</c:v>
                </c:pt>
                <c:pt idx="38">
                  <c:v>320.24</c:v>
                </c:pt>
                <c:pt idx="39">
                  <c:v>320.24</c:v>
                </c:pt>
                <c:pt idx="40">
                  <c:v>344.87</c:v>
                </c:pt>
                <c:pt idx="41">
                  <c:v>344.87</c:v>
                </c:pt>
                <c:pt idx="42">
                  <c:v>342.6</c:v>
                </c:pt>
                <c:pt idx="43">
                  <c:v>342.6</c:v>
                </c:pt>
                <c:pt idx="44">
                  <c:v>341.08</c:v>
                </c:pt>
                <c:pt idx="45">
                  <c:v>341.08</c:v>
                </c:pt>
                <c:pt idx="46">
                  <c:v>339.11</c:v>
                </c:pt>
                <c:pt idx="47">
                  <c:v>339.11</c:v>
                </c:pt>
                <c:pt idx="48">
                  <c:v>337.7</c:v>
                </c:pt>
                <c:pt idx="49">
                  <c:v>337.7</c:v>
                </c:pt>
                <c:pt idx="50">
                  <c:v>336.76</c:v>
                </c:pt>
                <c:pt idx="51">
                  <c:v>336.76</c:v>
                </c:pt>
                <c:pt idx="52">
                  <c:v>360.85</c:v>
                </c:pt>
                <c:pt idx="53">
                  <c:v>360.85</c:v>
                </c:pt>
                <c:pt idx="54">
                  <c:v>360.14</c:v>
                </c:pt>
                <c:pt idx="55">
                  <c:v>360.14</c:v>
                </c:pt>
                <c:pt idx="56">
                  <c:v>358</c:v>
                </c:pt>
                <c:pt idx="57">
                  <c:v>358</c:v>
                </c:pt>
                <c:pt idx="58">
                  <c:v>356.65</c:v>
                </c:pt>
                <c:pt idx="59">
                  <c:v>356.65</c:v>
                </c:pt>
                <c:pt idx="60">
                  <c:v>354.65</c:v>
                </c:pt>
                <c:pt idx="61">
                  <c:v>354.65</c:v>
                </c:pt>
                <c:pt idx="62">
                  <c:v>353.42</c:v>
                </c:pt>
                <c:pt idx="63">
                  <c:v>353.42</c:v>
                </c:pt>
                <c:pt idx="64">
                  <c:v>352.47</c:v>
                </c:pt>
                <c:pt idx="65">
                  <c:v>352.47</c:v>
                </c:pt>
                <c:pt idx="66">
                  <c:v>350.88</c:v>
                </c:pt>
                <c:pt idx="67">
                  <c:v>350.88</c:v>
                </c:pt>
                <c:pt idx="68">
                  <c:v>348.56</c:v>
                </c:pt>
                <c:pt idx="69">
                  <c:v>348.56</c:v>
                </c:pt>
                <c:pt idx="70">
                  <c:v>347.56</c:v>
                </c:pt>
                <c:pt idx="71">
                  <c:v>347.56</c:v>
                </c:pt>
                <c:pt idx="72">
                  <c:v>346.38</c:v>
                </c:pt>
                <c:pt idx="73">
                  <c:v>346.38</c:v>
                </c:pt>
                <c:pt idx="74">
                  <c:v>344.66</c:v>
                </c:pt>
                <c:pt idx="75">
                  <c:v>344.66</c:v>
                </c:pt>
                <c:pt idx="76">
                  <c:v>343.6</c:v>
                </c:pt>
                <c:pt idx="77">
                  <c:v>343.6</c:v>
                </c:pt>
                <c:pt idx="78">
                  <c:v>342.86</c:v>
                </c:pt>
                <c:pt idx="79">
                  <c:v>342.86</c:v>
                </c:pt>
                <c:pt idx="80">
                  <c:v>342.09</c:v>
                </c:pt>
                <c:pt idx="81">
                  <c:v>342.09</c:v>
                </c:pt>
                <c:pt idx="82">
                  <c:v>341.52</c:v>
                </c:pt>
                <c:pt idx="83">
                  <c:v>341.52</c:v>
                </c:pt>
                <c:pt idx="84">
                  <c:v>340.87</c:v>
                </c:pt>
                <c:pt idx="85">
                  <c:v>340.87</c:v>
                </c:pt>
                <c:pt idx="86">
                  <c:v>340.1</c:v>
                </c:pt>
                <c:pt idx="87">
                  <c:v>340.1</c:v>
                </c:pt>
                <c:pt idx="88">
                  <c:v>339.19</c:v>
                </c:pt>
                <c:pt idx="89">
                  <c:v>339.19</c:v>
                </c:pt>
                <c:pt idx="90">
                  <c:v>338.51</c:v>
                </c:pt>
                <c:pt idx="91">
                  <c:v>338.51</c:v>
                </c:pt>
                <c:pt idx="92">
                  <c:v>337.82</c:v>
                </c:pt>
                <c:pt idx="93">
                  <c:v>337.82</c:v>
                </c:pt>
                <c:pt idx="94">
                  <c:v>336.93</c:v>
                </c:pt>
                <c:pt idx="95">
                  <c:v>336.93</c:v>
                </c:pt>
                <c:pt idx="96">
                  <c:v>335.93</c:v>
                </c:pt>
                <c:pt idx="97">
                  <c:v>335.93</c:v>
                </c:pt>
                <c:pt idx="98">
                  <c:v>335.15</c:v>
                </c:pt>
                <c:pt idx="99">
                  <c:v>335.15</c:v>
                </c:pt>
                <c:pt idx="100">
                  <c:v>334.39</c:v>
                </c:pt>
                <c:pt idx="101">
                  <c:v>334.39</c:v>
                </c:pt>
                <c:pt idx="102">
                  <c:v>335.23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A-4E3E-A2AA-F43F52DA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97"/>
          <c:min val="26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126</xdr:row>
      <xdr:rowOff>0</xdr:rowOff>
    </xdr:from>
    <xdr:to>
      <xdr:col>13</xdr:col>
      <xdr:colOff>0</xdr:colOff>
      <xdr:row>146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7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125" customWidth="1"/>
    <col min="5" max="7" width="8" bestFit="1" customWidth="1"/>
    <col min="8" max="8" width="17.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361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4</v>
      </c>
      <c r="B5" s="14"/>
      <c r="C5" s="14"/>
      <c r="D5" s="15" t="s">
        <v>5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6</v>
      </c>
      <c r="B6" s="14"/>
      <c r="C6" s="14"/>
      <c r="D6" s="15" t="s">
        <v>7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8</v>
      </c>
      <c r="B7" s="14"/>
      <c r="C7" s="14"/>
      <c r="D7" s="15" t="s">
        <v>9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10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11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21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23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24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30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31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33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34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36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40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41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42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44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45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46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50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4:14" ht="15" customHeight="1" x14ac:dyDescent="0.2">
      <c r="D49" s="15" t="s">
        <v>51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4:14" ht="15" customHeight="1" x14ac:dyDescent="0.2">
      <c r="D50" s="15" t="s">
        <v>52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4:14" ht="15" customHeight="1" x14ac:dyDescent="0.2">
      <c r="D51" s="15" t="s">
        <v>53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4:14" ht="15" customHeight="1" x14ac:dyDescent="0.2">
      <c r="D52" s="15" t="s">
        <v>54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4:14" ht="15" customHeight="1" x14ac:dyDescent="0.2">
      <c r="D53" s="15" t="s">
        <v>55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4:14" ht="15" customHeight="1" x14ac:dyDescent="0.2">
      <c r="D54" s="15" t="s">
        <v>56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4:14" ht="15" customHeight="1" x14ac:dyDescent="0.2">
      <c r="D55" s="15" t="s">
        <v>57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4:14" ht="15" customHeight="1" x14ac:dyDescent="0.2">
      <c r="D56" s="15" t="s">
        <v>58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4:14" ht="15" customHeight="1" x14ac:dyDescent="0.2">
      <c r="D57" s="15" t="s">
        <v>59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4:14" ht="15" customHeight="1" x14ac:dyDescent="0.2">
      <c r="D58" s="15" t="s">
        <v>60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4:14" ht="15" customHeight="1" x14ac:dyDescent="0.2">
      <c r="D59" s="15" t="s">
        <v>61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4:14" ht="15" customHeight="1" x14ac:dyDescent="0.2">
      <c r="D60" s="15" t="s">
        <v>62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4:14" ht="15" customHeight="1" x14ac:dyDescent="0.2">
      <c r="D61" s="15" t="s">
        <v>63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4:14" ht="15" customHeight="1" x14ac:dyDescent="0.2">
      <c r="D62" s="15" t="s">
        <v>64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4:14" ht="15" customHeight="1" x14ac:dyDescent="0.2">
      <c r="D63" s="15" t="s">
        <v>65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4:14" ht="15" customHeight="1" x14ac:dyDescent="0.2">
      <c r="D64" s="15" t="s">
        <v>66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4:14" ht="15" customHeight="1" x14ac:dyDescent="0.2">
      <c r="D65" s="15" t="s">
        <v>67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4:14" ht="15" customHeight="1" x14ac:dyDescent="0.2">
      <c r="D66" s="15" t="s">
        <v>68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4:14" ht="15" customHeight="1" x14ac:dyDescent="0.2">
      <c r="D67" s="15" t="s">
        <v>69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4:14" ht="15" customHeight="1" x14ac:dyDescent="0.2">
      <c r="D68" s="15" t="s">
        <v>70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4:14" ht="15" customHeight="1" x14ac:dyDescent="0.2">
      <c r="D69" s="15" t="s">
        <v>71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4:14" ht="15" customHeight="1" x14ac:dyDescent="0.2">
      <c r="D70" s="15" t="s">
        <v>72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4:14" ht="15" customHeight="1" x14ac:dyDescent="0.2">
      <c r="D71" s="15" t="s">
        <v>73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4:14" ht="15" customHeight="1" x14ac:dyDescent="0.2">
      <c r="D72" s="15" t="s">
        <v>74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4:14" ht="15" customHeight="1" x14ac:dyDescent="0.2">
      <c r="D73" s="15" t="s">
        <v>75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4:14" ht="15" customHeight="1" x14ac:dyDescent="0.2">
      <c r="D74" s="15" t="s">
        <v>76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4:14" ht="15" customHeight="1" x14ac:dyDescent="0.2">
      <c r="D75" s="15" t="s">
        <v>77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4:14" ht="15" customHeight="1" x14ac:dyDescent="0.2">
      <c r="D76" s="15" t="s">
        <v>78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4:14" ht="15" customHeight="1" x14ac:dyDescent="0.2">
      <c r="D77" s="15" t="s">
        <v>79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4:14" ht="15" customHeight="1" x14ac:dyDescent="0.2">
      <c r="D78" s="15" t="s">
        <v>80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4:14" ht="15" customHeight="1" x14ac:dyDescent="0.2">
      <c r="D79" s="15" t="s">
        <v>81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4:14" ht="15" customHeight="1" x14ac:dyDescent="0.2">
      <c r="D80" s="15" t="s">
        <v>82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4:14" ht="15" customHeight="1" x14ac:dyDescent="0.2">
      <c r="D81" s="15" t="s">
        <v>83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4:14" ht="15" customHeight="1" x14ac:dyDescent="0.2">
      <c r="D82" s="15" t="s">
        <v>84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4:14" ht="15" customHeight="1" x14ac:dyDescent="0.2">
      <c r="D83" s="15" t="s">
        <v>85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4:14" ht="15" customHeight="1" x14ac:dyDescent="0.2">
      <c r="D84" s="15" t="s">
        <v>86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4:14" ht="15" customHeight="1" x14ac:dyDescent="0.2">
      <c r="D85" s="15" t="s">
        <v>87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4:14" ht="15" customHeight="1" x14ac:dyDescent="0.2">
      <c r="D86" s="15" t="s">
        <v>88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4:14" ht="15" customHeight="1" x14ac:dyDescent="0.2">
      <c r="D87" s="15" t="s">
        <v>89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4:14" ht="15" customHeight="1" x14ac:dyDescent="0.2">
      <c r="D88" s="15" t="s">
        <v>90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4:14" ht="15" customHeight="1" x14ac:dyDescent="0.2">
      <c r="D89" s="15" t="s">
        <v>91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4:14" ht="15" customHeight="1" x14ac:dyDescent="0.2">
      <c r="D90" s="15" t="s">
        <v>92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4:14" ht="15" customHeight="1" x14ac:dyDescent="0.2">
      <c r="D91" s="15" t="s">
        <v>93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4:14" ht="15" customHeight="1" x14ac:dyDescent="0.2">
      <c r="D92" s="15" t="s">
        <v>94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4:14" ht="15" customHeight="1" x14ac:dyDescent="0.2">
      <c r="D93" s="15" t="s">
        <v>95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4:14" ht="15" customHeight="1" x14ac:dyDescent="0.2">
      <c r="D94" s="15" t="s">
        <v>96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4:14" ht="15" customHeight="1" x14ac:dyDescent="0.2">
      <c r="D95" s="15" t="s">
        <v>97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4:14" ht="15" customHeight="1" x14ac:dyDescent="0.2">
      <c r="D96" s="15" t="s">
        <v>98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7" ht="15" customHeight="1" x14ac:dyDescent="0.2">
      <c r="D97" s="15" t="s">
        <v>99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7" ht="15" customHeight="1" x14ac:dyDescent="0.2">
      <c r="D98" s="15" t="s">
        <v>100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7" ht="15" customHeight="1" x14ac:dyDescent="0.2">
      <c r="D99" s="15" t="s">
        <v>101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7" ht="15" customHeight="1" x14ac:dyDescent="0.2">
      <c r="A100" s="14" t="s">
        <v>102</v>
      </c>
      <c r="B100" s="14"/>
      <c r="C100" s="14"/>
      <c r="D100" s="15" t="s">
        <v>103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7" ht="15" customHeight="1" x14ac:dyDescent="0.2">
      <c r="A101" s="14" t="s">
        <v>104</v>
      </c>
      <c r="B101" s="14"/>
      <c r="C101" s="14"/>
      <c r="D101" s="15" t="s">
        <v>105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7" ht="15" customHeight="1" x14ac:dyDescent="0.2">
      <c r="A102" s="14" t="s">
        <v>106</v>
      </c>
      <c r="B102" s="14"/>
      <c r="C102" s="14"/>
      <c r="D102" s="16">
        <v>300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7" ht="15" customHeight="1" x14ac:dyDescent="0.2">
      <c r="A103" s="14" t="s">
        <v>107</v>
      </c>
      <c r="B103" s="14"/>
      <c r="C103" s="14"/>
      <c r="D103" s="15" t="s">
        <v>108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7" ht="24.95" customHeight="1" thickBot="1" x14ac:dyDescent="0.25">
      <c r="A104" s="13" t="s">
        <v>109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7" ht="15" customHeight="1" thickBot="1" x14ac:dyDescent="0.25">
      <c r="A105" s="14" t="s">
        <v>110</v>
      </c>
      <c r="B105" s="14"/>
      <c r="C105" s="14"/>
      <c r="D105" s="17" t="s">
        <v>111</v>
      </c>
      <c r="P105" s="9" t="s">
        <v>358</v>
      </c>
      <c r="Q105" s="10">
        <f>MAX($K$255:$K$356)</f>
        <v>24.76</v>
      </c>
    </row>
    <row r="106" spans="1:17" ht="15" customHeight="1" thickBot="1" x14ac:dyDescent="0.25">
      <c r="A106" s="14" t="s">
        <v>112</v>
      </c>
      <c r="B106" s="14"/>
      <c r="C106" s="14"/>
      <c r="D106" s="18">
        <v>270160</v>
      </c>
      <c r="E106" s="14" t="s">
        <v>113</v>
      </c>
      <c r="F106" s="14"/>
      <c r="G106" s="14"/>
      <c r="H106" s="18">
        <v>118732908</v>
      </c>
      <c r="I106" s="14" t="s">
        <v>114</v>
      </c>
      <c r="J106" s="14"/>
      <c r="K106" s="14"/>
      <c r="L106" s="18">
        <v>1</v>
      </c>
      <c r="M106" s="18"/>
      <c r="N106" s="18"/>
      <c r="P106" s="9" t="s">
        <v>359</v>
      </c>
      <c r="Q106" s="10">
        <f>MIN($K$255:$K$356)</f>
        <v>-2.86</v>
      </c>
    </row>
    <row r="107" spans="1:17" ht="15" customHeight="1" thickBot="1" x14ac:dyDescent="0.25">
      <c r="A107" s="14" t="s">
        <v>115</v>
      </c>
      <c r="B107" s="14"/>
      <c r="C107" s="14"/>
      <c r="D107" s="19">
        <v>35.229999999999997</v>
      </c>
      <c r="E107" s="14" t="s">
        <v>116</v>
      </c>
      <c r="F107" s="14"/>
      <c r="G107" s="14"/>
      <c r="H107" s="19">
        <v>0.56999999999999995</v>
      </c>
      <c r="I107" s="14" t="s">
        <v>117</v>
      </c>
      <c r="J107" s="14"/>
      <c r="K107" s="14"/>
      <c r="L107" s="19">
        <v>0.74</v>
      </c>
      <c r="M107" s="19"/>
      <c r="N107" s="19"/>
      <c r="P107" s="9" t="s">
        <v>360</v>
      </c>
      <c r="Q107" s="10">
        <f>AVERAGE($K$255:$K$356)</f>
        <v>0.36352941176470593</v>
      </c>
    </row>
    <row r="108" spans="1:17" ht="15" customHeight="1" x14ac:dyDescent="0.2">
      <c r="A108" s="14" t="s">
        <v>118</v>
      </c>
      <c r="B108" s="14"/>
      <c r="C108" s="14"/>
      <c r="D108" s="19">
        <v>86.34</v>
      </c>
      <c r="E108" s="14" t="s">
        <v>119</v>
      </c>
      <c r="F108" s="14"/>
      <c r="G108" s="14"/>
      <c r="H108" s="17" t="s">
        <v>120</v>
      </c>
      <c r="I108" s="14" t="s">
        <v>121</v>
      </c>
      <c r="J108" s="14"/>
      <c r="K108" s="14"/>
      <c r="L108" s="17" t="s">
        <v>122</v>
      </c>
      <c r="M108" s="17"/>
      <c r="N108" s="17"/>
    </row>
    <row r="109" spans="1:17" ht="15" customHeight="1" x14ac:dyDescent="0.2">
      <c r="A109" s="14" t="s">
        <v>123</v>
      </c>
      <c r="B109" s="14"/>
      <c r="C109" s="14"/>
      <c r="D109" s="19">
        <v>-51.11</v>
      </c>
      <c r="E109" s="14" t="s">
        <v>124</v>
      </c>
      <c r="F109" s="14"/>
      <c r="G109" s="14"/>
      <c r="H109" s="17" t="s">
        <v>125</v>
      </c>
      <c r="I109" s="14" t="s">
        <v>126</v>
      </c>
      <c r="J109" s="14"/>
      <c r="K109" s="14"/>
      <c r="L109" s="17" t="s">
        <v>127</v>
      </c>
      <c r="M109" s="17"/>
      <c r="N109" s="17"/>
    </row>
    <row r="111" spans="1:17" ht="15" customHeight="1" x14ac:dyDescent="0.2">
      <c r="A111" s="14" t="s">
        <v>128</v>
      </c>
      <c r="B111" s="14"/>
      <c r="C111" s="14"/>
      <c r="D111" s="19">
        <v>1.689298</v>
      </c>
      <c r="E111" s="14" t="s">
        <v>129</v>
      </c>
      <c r="F111" s="14"/>
      <c r="G111" s="14"/>
      <c r="H111" s="19">
        <v>0.69078399999999995</v>
      </c>
      <c r="I111" s="14" t="s">
        <v>130</v>
      </c>
      <c r="J111" s="14"/>
      <c r="K111" s="14"/>
      <c r="L111" s="17" t="s">
        <v>131</v>
      </c>
      <c r="M111" s="17"/>
      <c r="N111" s="17"/>
    </row>
    <row r="112" spans="1:17" ht="15" customHeight="1" x14ac:dyDescent="0.2">
      <c r="A112" s="14" t="s">
        <v>132</v>
      </c>
      <c r="B112" s="14"/>
      <c r="C112" s="14"/>
      <c r="D112" s="19">
        <v>1.134987</v>
      </c>
      <c r="E112" s="14" t="s">
        <v>133</v>
      </c>
      <c r="F112" s="14"/>
      <c r="G112" s="14"/>
      <c r="H112" s="19">
        <v>1.2833239999999999</v>
      </c>
      <c r="I112" s="14" t="s">
        <v>134</v>
      </c>
      <c r="J112" s="14"/>
      <c r="K112" s="14"/>
      <c r="L112" s="17" t="s">
        <v>135</v>
      </c>
      <c r="M112" s="17"/>
      <c r="N112" s="17"/>
    </row>
    <row r="113" spans="1:14" ht="15" customHeight="1" x14ac:dyDescent="0.2">
      <c r="A113" s="14" t="s">
        <v>136</v>
      </c>
      <c r="B113" s="14"/>
      <c r="C113" s="14"/>
      <c r="D113" s="17" t="s">
        <v>137</v>
      </c>
      <c r="E113" s="14" t="s">
        <v>138</v>
      </c>
      <c r="F113" s="14"/>
      <c r="G113" s="14"/>
      <c r="H113" s="19">
        <v>0.69068399999999996</v>
      </c>
      <c r="I113" s="14" t="s">
        <v>139</v>
      </c>
      <c r="J113" s="14"/>
      <c r="K113" s="14"/>
      <c r="L113" s="17" t="s">
        <v>140</v>
      </c>
      <c r="M113" s="17"/>
      <c r="N113" s="17"/>
    </row>
    <row r="114" spans="1:14" ht="15" customHeight="1" x14ac:dyDescent="0.2">
      <c r="A114" s="14" t="s">
        <v>141</v>
      </c>
      <c r="B114" s="14"/>
      <c r="C114" s="14"/>
      <c r="D114" s="17" t="s">
        <v>142</v>
      </c>
      <c r="E114" s="14" t="s">
        <v>143</v>
      </c>
      <c r="F114" s="14"/>
      <c r="G114" s="14"/>
      <c r="H114" s="19">
        <v>12.053034999999999</v>
      </c>
    </row>
    <row r="116" spans="1:14" ht="15" customHeight="1" x14ac:dyDescent="0.2">
      <c r="A116" s="14" t="s">
        <v>144</v>
      </c>
      <c r="B116" s="14"/>
      <c r="C116" s="14"/>
      <c r="D116" s="19">
        <v>0.89839500000000005</v>
      </c>
      <c r="E116" s="14" t="s">
        <v>145</v>
      </c>
      <c r="F116" s="14"/>
      <c r="G116" s="14"/>
      <c r="H116" s="19">
        <v>0.349157</v>
      </c>
      <c r="I116" s="14" t="s">
        <v>146</v>
      </c>
      <c r="J116" s="14"/>
      <c r="K116" s="14"/>
      <c r="L116" s="19">
        <v>6.3233999999999999E-2</v>
      </c>
      <c r="M116" s="19"/>
      <c r="N116" s="19"/>
    </row>
    <row r="117" spans="1:14" ht="15" customHeight="1" x14ac:dyDescent="0.2">
      <c r="A117" s="14" t="s">
        <v>147</v>
      </c>
      <c r="B117" s="14"/>
      <c r="C117" s="14"/>
      <c r="D117" s="17" t="s">
        <v>148</v>
      </c>
      <c r="E117" s="14" t="s">
        <v>149</v>
      </c>
      <c r="F117" s="14"/>
      <c r="G117" s="14"/>
      <c r="H117" s="17" t="s">
        <v>150</v>
      </c>
      <c r="I117" s="14" t="s">
        <v>151</v>
      </c>
      <c r="J117" s="14"/>
      <c r="K117" s="14"/>
      <c r="L117" s="17" t="s">
        <v>152</v>
      </c>
      <c r="M117" s="17"/>
      <c r="N117" s="17"/>
    </row>
    <row r="119" spans="1:14" ht="15" customHeight="1" x14ac:dyDescent="0.2">
      <c r="A119" s="14" t="s">
        <v>153</v>
      </c>
      <c r="B119" s="14"/>
      <c r="C119" s="14"/>
      <c r="D119" s="18">
        <v>51</v>
      </c>
      <c r="E119" s="14" t="s">
        <v>154</v>
      </c>
      <c r="F119" s="14"/>
      <c r="G119" s="14"/>
      <c r="H119" s="17" t="s">
        <v>155</v>
      </c>
      <c r="I119" s="14" t="s">
        <v>156</v>
      </c>
      <c r="J119" s="14"/>
      <c r="K119" s="14"/>
      <c r="L119" s="17" t="s">
        <v>157</v>
      </c>
      <c r="M119" s="17"/>
      <c r="N119" s="17"/>
    </row>
    <row r="120" spans="1:14" ht="15" customHeight="1" x14ac:dyDescent="0.2">
      <c r="A120" s="14" t="s">
        <v>158</v>
      </c>
      <c r="B120" s="14"/>
      <c r="C120" s="14"/>
      <c r="D120" s="18">
        <v>102</v>
      </c>
      <c r="E120" s="14" t="s">
        <v>159</v>
      </c>
      <c r="F120" s="14"/>
      <c r="G120" s="14"/>
      <c r="H120" s="17" t="s">
        <v>160</v>
      </c>
      <c r="I120" s="14" t="s">
        <v>161</v>
      </c>
      <c r="J120" s="14"/>
      <c r="K120" s="14"/>
      <c r="L120" s="17" t="s">
        <v>162</v>
      </c>
      <c r="M120" s="17"/>
      <c r="N120" s="17"/>
    </row>
    <row r="121" spans="1:14" ht="15" customHeight="1" x14ac:dyDescent="0.2">
      <c r="E121" s="14" t="s">
        <v>163</v>
      </c>
      <c r="F121" s="14"/>
      <c r="G121" s="14"/>
      <c r="H121" s="19">
        <v>24.63</v>
      </c>
      <c r="I121" s="14" t="s">
        <v>164</v>
      </c>
      <c r="J121" s="14"/>
      <c r="K121" s="14"/>
      <c r="L121" s="19">
        <v>-3.17</v>
      </c>
      <c r="M121" s="19"/>
      <c r="N121" s="19"/>
    </row>
    <row r="122" spans="1:14" ht="15" customHeight="1" x14ac:dyDescent="0.2">
      <c r="E122" s="14" t="s">
        <v>165</v>
      </c>
      <c r="F122" s="14"/>
      <c r="G122" s="14"/>
      <c r="H122" s="19">
        <v>17.268000000000001</v>
      </c>
      <c r="I122" s="14" t="s">
        <v>166</v>
      </c>
      <c r="J122" s="14"/>
      <c r="K122" s="14"/>
      <c r="L122" s="19">
        <v>-1.1110869999999999</v>
      </c>
      <c r="M122" s="19"/>
      <c r="N122" s="19"/>
    </row>
    <row r="123" spans="1:14" ht="15" customHeight="1" x14ac:dyDescent="0.2">
      <c r="E123" s="14" t="s">
        <v>167</v>
      </c>
      <c r="F123" s="14"/>
      <c r="G123" s="14"/>
      <c r="H123" s="17" t="s">
        <v>168</v>
      </c>
      <c r="I123" s="14" t="s">
        <v>169</v>
      </c>
      <c r="J123" s="14"/>
      <c r="K123" s="14"/>
      <c r="L123" s="17" t="s">
        <v>170</v>
      </c>
      <c r="M123" s="17"/>
      <c r="N123" s="17"/>
    </row>
    <row r="124" spans="1:14" ht="15" customHeight="1" x14ac:dyDescent="0.2">
      <c r="E124" s="14" t="s">
        <v>171</v>
      </c>
      <c r="F124" s="14"/>
      <c r="G124" s="14"/>
      <c r="H124" s="17" t="s">
        <v>172</v>
      </c>
      <c r="I124" s="14" t="s">
        <v>173</v>
      </c>
      <c r="J124" s="14"/>
      <c r="K124" s="14"/>
      <c r="L124" s="17" t="s">
        <v>174</v>
      </c>
      <c r="M124" s="17"/>
      <c r="N124" s="17"/>
    </row>
    <row r="125" spans="1:14" ht="15" customHeight="1" x14ac:dyDescent="0.2">
      <c r="E125" s="14" t="s">
        <v>175</v>
      </c>
      <c r="F125" s="14"/>
      <c r="G125" s="14"/>
      <c r="H125" s="18">
        <v>1</v>
      </c>
      <c r="I125" s="14" t="s">
        <v>176</v>
      </c>
      <c r="J125" s="14"/>
      <c r="K125" s="14"/>
      <c r="L125" s="18">
        <v>9</v>
      </c>
      <c r="M125" s="18"/>
      <c r="N125" s="18"/>
    </row>
    <row r="148" spans="1:14" ht="20.100000000000001" customHeight="1" x14ac:dyDescent="0.2">
      <c r="A148" s="13" t="s">
        <v>177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spans="1:14" ht="20.100000000000001" customHeight="1" x14ac:dyDescent="0.2">
      <c r="A149" s="2" t="s">
        <v>178</v>
      </c>
      <c r="B149" s="2" t="s">
        <v>179</v>
      </c>
      <c r="C149" s="2" t="s">
        <v>180</v>
      </c>
      <c r="D149" s="2" t="s">
        <v>181</v>
      </c>
      <c r="E149" s="20" t="s">
        <v>182</v>
      </c>
      <c r="F149" s="20"/>
      <c r="G149" s="2" t="s">
        <v>183</v>
      </c>
      <c r="H149" s="2" t="s">
        <v>184</v>
      </c>
      <c r="I149" s="2" t="s">
        <v>185</v>
      </c>
      <c r="J149" s="20" t="s">
        <v>186</v>
      </c>
      <c r="K149" s="20"/>
      <c r="L149" s="2" t="s">
        <v>187</v>
      </c>
      <c r="M149" s="20" t="s">
        <v>188</v>
      </c>
      <c r="N149" s="20"/>
    </row>
    <row r="150" spans="1:14" ht="15" customHeight="1" x14ac:dyDescent="0.2">
      <c r="A150" s="3" t="s">
        <v>189</v>
      </c>
      <c r="B150" s="4">
        <v>2</v>
      </c>
      <c r="C150" s="3" t="s">
        <v>5</v>
      </c>
      <c r="D150" s="3" t="s">
        <v>190</v>
      </c>
      <c r="E150" s="21" t="s">
        <v>191</v>
      </c>
      <c r="F150" s="21"/>
      <c r="G150" s="5">
        <v>0</v>
      </c>
      <c r="H150" s="3"/>
      <c r="I150" s="3"/>
      <c r="J150" s="21" t="s">
        <v>189</v>
      </c>
      <c r="K150" s="21"/>
      <c r="L150" s="3" t="s">
        <v>192</v>
      </c>
      <c r="M150" s="21" t="s">
        <v>193</v>
      </c>
      <c r="N150" s="21"/>
    </row>
    <row r="151" spans="1:14" ht="15" customHeight="1" x14ac:dyDescent="0.2">
      <c r="A151" s="1" t="s">
        <v>194</v>
      </c>
      <c r="B151" s="6">
        <v>3</v>
      </c>
      <c r="C151" s="1" t="s">
        <v>5</v>
      </c>
      <c r="D151" s="1" t="s">
        <v>195</v>
      </c>
      <c r="E151" s="14" t="s">
        <v>191</v>
      </c>
      <c r="F151" s="14"/>
      <c r="G151" s="7">
        <v>0</v>
      </c>
      <c r="H151" s="1"/>
      <c r="I151" s="1"/>
      <c r="J151" s="14" t="s">
        <v>194</v>
      </c>
      <c r="K151" s="14"/>
      <c r="L151" s="1" t="s">
        <v>192</v>
      </c>
      <c r="M151" s="14" t="s">
        <v>196</v>
      </c>
      <c r="N151" s="14"/>
    </row>
    <row r="152" spans="1:14" ht="15" customHeight="1" x14ac:dyDescent="0.2">
      <c r="A152" s="3" t="s">
        <v>197</v>
      </c>
      <c r="B152" s="4">
        <v>4</v>
      </c>
      <c r="C152" s="3" t="s">
        <v>5</v>
      </c>
      <c r="D152" s="3" t="s">
        <v>190</v>
      </c>
      <c r="E152" s="21" t="s">
        <v>191</v>
      </c>
      <c r="F152" s="21"/>
      <c r="G152" s="5">
        <v>0</v>
      </c>
      <c r="H152" s="3"/>
      <c r="I152" s="3"/>
      <c r="J152" s="21" t="s">
        <v>197</v>
      </c>
      <c r="K152" s="21"/>
      <c r="L152" s="3" t="s">
        <v>192</v>
      </c>
      <c r="M152" s="21" t="s">
        <v>193</v>
      </c>
      <c r="N152" s="21"/>
    </row>
    <row r="153" spans="1:14" ht="15" customHeight="1" x14ac:dyDescent="0.2">
      <c r="A153" s="1" t="s">
        <v>198</v>
      </c>
      <c r="B153" s="6">
        <v>5</v>
      </c>
      <c r="C153" s="1" t="s">
        <v>5</v>
      </c>
      <c r="D153" s="1" t="s">
        <v>195</v>
      </c>
      <c r="E153" s="14" t="s">
        <v>191</v>
      </c>
      <c r="F153" s="14"/>
      <c r="G153" s="7">
        <v>0</v>
      </c>
      <c r="H153" s="1"/>
      <c r="I153" s="1"/>
      <c r="J153" s="14" t="s">
        <v>198</v>
      </c>
      <c r="K153" s="14"/>
      <c r="L153" s="1" t="s">
        <v>192</v>
      </c>
      <c r="M153" s="14"/>
      <c r="N153" s="14"/>
    </row>
    <row r="154" spans="1:14" ht="15" customHeight="1" x14ac:dyDescent="0.2">
      <c r="A154" s="3" t="s">
        <v>199</v>
      </c>
      <c r="B154" s="4">
        <v>6</v>
      </c>
      <c r="C154" s="3" t="s">
        <v>5</v>
      </c>
      <c r="D154" s="3" t="s">
        <v>190</v>
      </c>
      <c r="E154" s="21" t="s">
        <v>191</v>
      </c>
      <c r="F154" s="21"/>
      <c r="G154" s="5">
        <v>0</v>
      </c>
      <c r="H154" s="3"/>
      <c r="I154" s="3"/>
      <c r="J154" s="21" t="s">
        <v>199</v>
      </c>
      <c r="K154" s="21"/>
      <c r="L154" s="3" t="s">
        <v>192</v>
      </c>
      <c r="M154" s="21" t="s">
        <v>193</v>
      </c>
      <c r="N154" s="21"/>
    </row>
    <row r="155" spans="1:14" ht="15" customHeight="1" x14ac:dyDescent="0.2">
      <c r="A155" s="1" t="s">
        <v>200</v>
      </c>
      <c r="B155" s="6">
        <v>7</v>
      </c>
      <c r="C155" s="1" t="s">
        <v>5</v>
      </c>
      <c r="D155" s="1" t="s">
        <v>190</v>
      </c>
      <c r="E155" s="14" t="s">
        <v>191</v>
      </c>
      <c r="F155" s="14"/>
      <c r="G155" s="7">
        <v>0</v>
      </c>
      <c r="H155" s="1"/>
      <c r="I155" s="1"/>
      <c r="J155" s="14" t="s">
        <v>200</v>
      </c>
      <c r="K155" s="14"/>
      <c r="L155" s="1" t="s">
        <v>192</v>
      </c>
      <c r="M155" s="14" t="s">
        <v>193</v>
      </c>
      <c r="N155" s="14"/>
    </row>
    <row r="156" spans="1:14" ht="15" customHeight="1" x14ac:dyDescent="0.2">
      <c r="A156" s="3" t="s">
        <v>201</v>
      </c>
      <c r="B156" s="4">
        <v>8</v>
      </c>
      <c r="C156" s="3" t="s">
        <v>5</v>
      </c>
      <c r="D156" s="3" t="s">
        <v>195</v>
      </c>
      <c r="E156" s="21" t="s">
        <v>191</v>
      </c>
      <c r="F156" s="21"/>
      <c r="G156" s="5">
        <v>0</v>
      </c>
      <c r="H156" s="3"/>
      <c r="I156" s="3"/>
      <c r="J156" s="21" t="s">
        <v>201</v>
      </c>
      <c r="K156" s="21"/>
      <c r="L156" s="3" t="s">
        <v>192</v>
      </c>
      <c r="M156" s="21" t="s">
        <v>202</v>
      </c>
      <c r="N156" s="21"/>
    </row>
    <row r="157" spans="1:14" ht="15" customHeight="1" x14ac:dyDescent="0.2">
      <c r="A157" s="1" t="s">
        <v>203</v>
      </c>
      <c r="B157" s="6">
        <v>9</v>
      </c>
      <c r="C157" s="1" t="s">
        <v>5</v>
      </c>
      <c r="D157" s="1" t="s">
        <v>195</v>
      </c>
      <c r="E157" s="14" t="s">
        <v>191</v>
      </c>
      <c r="F157" s="14"/>
      <c r="G157" s="7">
        <v>0</v>
      </c>
      <c r="H157" s="1"/>
      <c r="I157" s="1"/>
      <c r="J157" s="14" t="s">
        <v>203</v>
      </c>
      <c r="K157" s="14"/>
      <c r="L157" s="1" t="s">
        <v>192</v>
      </c>
      <c r="M157" s="14" t="s">
        <v>204</v>
      </c>
      <c r="N157" s="14"/>
    </row>
    <row r="158" spans="1:14" ht="15" customHeight="1" x14ac:dyDescent="0.2">
      <c r="A158" s="3" t="s">
        <v>205</v>
      </c>
      <c r="B158" s="4">
        <v>10</v>
      </c>
      <c r="C158" s="3" t="s">
        <v>5</v>
      </c>
      <c r="D158" s="3" t="s">
        <v>190</v>
      </c>
      <c r="E158" s="21" t="s">
        <v>191</v>
      </c>
      <c r="F158" s="21"/>
      <c r="G158" s="5">
        <v>0</v>
      </c>
      <c r="H158" s="3"/>
      <c r="I158" s="3"/>
      <c r="J158" s="21" t="s">
        <v>205</v>
      </c>
      <c r="K158" s="21"/>
      <c r="L158" s="3" t="s">
        <v>192</v>
      </c>
      <c r="M158" s="21" t="s">
        <v>193</v>
      </c>
      <c r="N158" s="21"/>
    </row>
    <row r="159" spans="1:14" ht="15" customHeight="1" x14ac:dyDescent="0.2">
      <c r="A159" s="1" t="s">
        <v>206</v>
      </c>
      <c r="B159" s="6">
        <v>11</v>
      </c>
      <c r="C159" s="1" t="s">
        <v>5</v>
      </c>
      <c r="D159" s="1" t="s">
        <v>195</v>
      </c>
      <c r="E159" s="14" t="s">
        <v>191</v>
      </c>
      <c r="F159" s="14"/>
      <c r="G159" s="7">
        <v>0</v>
      </c>
      <c r="H159" s="1"/>
      <c r="I159" s="1"/>
      <c r="J159" s="14" t="s">
        <v>206</v>
      </c>
      <c r="K159" s="14"/>
      <c r="L159" s="1" t="s">
        <v>192</v>
      </c>
      <c r="M159" s="14" t="s">
        <v>207</v>
      </c>
      <c r="N159" s="14"/>
    </row>
    <row r="160" spans="1:14" ht="15" customHeight="1" x14ac:dyDescent="0.2">
      <c r="A160" s="3" t="s">
        <v>208</v>
      </c>
      <c r="B160" s="4">
        <v>12</v>
      </c>
      <c r="C160" s="3" t="s">
        <v>5</v>
      </c>
      <c r="D160" s="3" t="s">
        <v>190</v>
      </c>
      <c r="E160" s="21" t="s">
        <v>191</v>
      </c>
      <c r="F160" s="21"/>
      <c r="G160" s="5">
        <v>0</v>
      </c>
      <c r="H160" s="3"/>
      <c r="I160" s="3"/>
      <c r="J160" s="21" t="s">
        <v>208</v>
      </c>
      <c r="K160" s="21"/>
      <c r="L160" s="3" t="s">
        <v>192</v>
      </c>
      <c r="M160" s="21" t="s">
        <v>193</v>
      </c>
      <c r="N160" s="21"/>
    </row>
    <row r="161" spans="1:14" ht="15" customHeight="1" x14ac:dyDescent="0.2">
      <c r="A161" s="1" t="s">
        <v>209</v>
      </c>
      <c r="B161" s="6">
        <v>13</v>
      </c>
      <c r="C161" s="1" t="s">
        <v>5</v>
      </c>
      <c r="D161" s="1" t="s">
        <v>195</v>
      </c>
      <c r="E161" s="14" t="s">
        <v>191</v>
      </c>
      <c r="F161" s="14"/>
      <c r="G161" s="7">
        <v>0</v>
      </c>
      <c r="H161" s="1"/>
      <c r="I161" s="1"/>
      <c r="J161" s="14" t="s">
        <v>209</v>
      </c>
      <c r="K161" s="14"/>
      <c r="L161" s="1" t="s">
        <v>192</v>
      </c>
      <c r="M161" s="14" t="s">
        <v>210</v>
      </c>
      <c r="N161" s="14"/>
    </row>
    <row r="162" spans="1:14" ht="15" customHeight="1" x14ac:dyDescent="0.2">
      <c r="A162" s="3" t="s">
        <v>211</v>
      </c>
      <c r="B162" s="4">
        <v>14</v>
      </c>
      <c r="C162" s="3" t="s">
        <v>5</v>
      </c>
      <c r="D162" s="3" t="s">
        <v>190</v>
      </c>
      <c r="E162" s="21" t="s">
        <v>191</v>
      </c>
      <c r="F162" s="21"/>
      <c r="G162" s="5">
        <v>0</v>
      </c>
      <c r="H162" s="3"/>
      <c r="I162" s="3"/>
      <c r="J162" s="21" t="s">
        <v>211</v>
      </c>
      <c r="K162" s="21"/>
      <c r="L162" s="3" t="s">
        <v>192</v>
      </c>
      <c r="M162" s="21" t="s">
        <v>193</v>
      </c>
      <c r="N162" s="21"/>
    </row>
    <row r="163" spans="1:14" ht="15" customHeight="1" x14ac:dyDescent="0.2">
      <c r="A163" s="1" t="s">
        <v>212</v>
      </c>
      <c r="B163" s="6">
        <v>15</v>
      </c>
      <c r="C163" s="1" t="s">
        <v>5</v>
      </c>
      <c r="D163" s="1" t="s">
        <v>195</v>
      </c>
      <c r="E163" s="14" t="s">
        <v>191</v>
      </c>
      <c r="F163" s="14"/>
      <c r="G163" s="7">
        <v>0</v>
      </c>
      <c r="H163" s="1"/>
      <c r="I163" s="1"/>
      <c r="J163" s="14" t="s">
        <v>212</v>
      </c>
      <c r="K163" s="14"/>
      <c r="L163" s="1" t="s">
        <v>192</v>
      </c>
      <c r="M163" s="14" t="s">
        <v>213</v>
      </c>
      <c r="N163" s="14"/>
    </row>
    <row r="164" spans="1:14" ht="15" customHeight="1" x14ac:dyDescent="0.2">
      <c r="A164" s="3" t="s">
        <v>214</v>
      </c>
      <c r="B164" s="4">
        <v>16</v>
      </c>
      <c r="C164" s="3" t="s">
        <v>5</v>
      </c>
      <c r="D164" s="3" t="s">
        <v>190</v>
      </c>
      <c r="E164" s="21" t="s">
        <v>191</v>
      </c>
      <c r="F164" s="21"/>
      <c r="G164" s="5">
        <v>0</v>
      </c>
      <c r="H164" s="3"/>
      <c r="I164" s="3"/>
      <c r="J164" s="21" t="s">
        <v>214</v>
      </c>
      <c r="K164" s="21"/>
      <c r="L164" s="3" t="s">
        <v>192</v>
      </c>
      <c r="M164" s="21" t="s">
        <v>193</v>
      </c>
      <c r="N164" s="21"/>
    </row>
    <row r="165" spans="1:14" ht="15" customHeight="1" x14ac:dyDescent="0.2">
      <c r="A165" s="1" t="s">
        <v>215</v>
      </c>
      <c r="B165" s="6">
        <v>17</v>
      </c>
      <c r="C165" s="1" t="s">
        <v>5</v>
      </c>
      <c r="D165" s="1" t="s">
        <v>195</v>
      </c>
      <c r="E165" s="14" t="s">
        <v>191</v>
      </c>
      <c r="F165" s="14"/>
      <c r="G165" s="7">
        <v>0</v>
      </c>
      <c r="H165" s="1"/>
      <c r="I165" s="1"/>
      <c r="J165" s="14" t="s">
        <v>215</v>
      </c>
      <c r="K165" s="14"/>
      <c r="L165" s="1" t="s">
        <v>192</v>
      </c>
      <c r="M165" s="14" t="s">
        <v>216</v>
      </c>
      <c r="N165" s="14"/>
    </row>
    <row r="166" spans="1:14" ht="15" customHeight="1" x14ac:dyDescent="0.2">
      <c r="A166" s="3" t="s">
        <v>217</v>
      </c>
      <c r="B166" s="4">
        <v>18</v>
      </c>
      <c r="C166" s="3" t="s">
        <v>5</v>
      </c>
      <c r="D166" s="3" t="s">
        <v>190</v>
      </c>
      <c r="E166" s="21" t="s">
        <v>191</v>
      </c>
      <c r="F166" s="21"/>
      <c r="G166" s="5">
        <v>0</v>
      </c>
      <c r="H166" s="3"/>
      <c r="I166" s="3"/>
      <c r="J166" s="21" t="s">
        <v>217</v>
      </c>
      <c r="K166" s="21"/>
      <c r="L166" s="3" t="s">
        <v>192</v>
      </c>
      <c r="M166" s="21" t="s">
        <v>193</v>
      </c>
      <c r="N166" s="21"/>
    </row>
    <row r="167" spans="1:14" ht="15" customHeight="1" x14ac:dyDescent="0.2">
      <c r="A167" s="1" t="s">
        <v>218</v>
      </c>
      <c r="B167" s="6">
        <v>19</v>
      </c>
      <c r="C167" s="1" t="s">
        <v>5</v>
      </c>
      <c r="D167" s="1" t="s">
        <v>195</v>
      </c>
      <c r="E167" s="14" t="s">
        <v>191</v>
      </c>
      <c r="F167" s="14"/>
      <c r="G167" s="7">
        <v>0</v>
      </c>
      <c r="H167" s="1"/>
      <c r="I167" s="1"/>
      <c r="J167" s="14" t="s">
        <v>218</v>
      </c>
      <c r="K167" s="14"/>
      <c r="L167" s="1" t="s">
        <v>192</v>
      </c>
      <c r="M167" s="14" t="s">
        <v>219</v>
      </c>
      <c r="N167" s="14"/>
    </row>
    <row r="168" spans="1:14" ht="15" customHeight="1" x14ac:dyDescent="0.2">
      <c r="A168" s="3" t="s">
        <v>220</v>
      </c>
      <c r="B168" s="4">
        <v>20</v>
      </c>
      <c r="C168" s="3" t="s">
        <v>5</v>
      </c>
      <c r="D168" s="3" t="s">
        <v>190</v>
      </c>
      <c r="E168" s="21" t="s">
        <v>191</v>
      </c>
      <c r="F168" s="21"/>
      <c r="G168" s="5">
        <v>0</v>
      </c>
      <c r="H168" s="3"/>
      <c r="I168" s="3"/>
      <c r="J168" s="21" t="s">
        <v>220</v>
      </c>
      <c r="K168" s="21"/>
      <c r="L168" s="3" t="s">
        <v>192</v>
      </c>
      <c r="M168" s="21" t="s">
        <v>193</v>
      </c>
      <c r="N168" s="21"/>
    </row>
    <row r="169" spans="1:14" ht="15" customHeight="1" x14ac:dyDescent="0.2">
      <c r="A169" s="1" t="s">
        <v>221</v>
      </c>
      <c r="B169" s="6">
        <v>21</v>
      </c>
      <c r="C169" s="1" t="s">
        <v>5</v>
      </c>
      <c r="D169" s="1" t="s">
        <v>195</v>
      </c>
      <c r="E169" s="14" t="s">
        <v>191</v>
      </c>
      <c r="F169" s="14"/>
      <c r="G169" s="7">
        <v>0</v>
      </c>
      <c r="H169" s="1"/>
      <c r="I169" s="1"/>
      <c r="J169" s="14" t="s">
        <v>221</v>
      </c>
      <c r="K169" s="14"/>
      <c r="L169" s="1" t="s">
        <v>192</v>
      </c>
      <c r="M169" s="14" t="s">
        <v>222</v>
      </c>
      <c r="N169" s="14"/>
    </row>
    <row r="170" spans="1:14" ht="15" customHeight="1" x14ac:dyDescent="0.2">
      <c r="A170" s="3" t="s">
        <v>223</v>
      </c>
      <c r="B170" s="4">
        <v>22</v>
      </c>
      <c r="C170" s="3" t="s">
        <v>5</v>
      </c>
      <c r="D170" s="3" t="s">
        <v>190</v>
      </c>
      <c r="E170" s="21" t="s">
        <v>191</v>
      </c>
      <c r="F170" s="21"/>
      <c r="G170" s="5">
        <v>0</v>
      </c>
      <c r="H170" s="3"/>
      <c r="I170" s="3"/>
      <c r="J170" s="21" t="s">
        <v>223</v>
      </c>
      <c r="K170" s="21"/>
      <c r="L170" s="3" t="s">
        <v>192</v>
      </c>
      <c r="M170" s="21" t="s">
        <v>193</v>
      </c>
      <c r="N170" s="21"/>
    </row>
    <row r="171" spans="1:14" ht="15" customHeight="1" x14ac:dyDescent="0.2">
      <c r="A171" s="1" t="s">
        <v>224</v>
      </c>
      <c r="B171" s="6">
        <v>23</v>
      </c>
      <c r="C171" s="1" t="s">
        <v>5</v>
      </c>
      <c r="D171" s="1" t="s">
        <v>195</v>
      </c>
      <c r="E171" s="14" t="s">
        <v>191</v>
      </c>
      <c r="F171" s="14"/>
      <c r="G171" s="7">
        <v>0</v>
      </c>
      <c r="H171" s="1"/>
      <c r="I171" s="1"/>
      <c r="J171" s="14" t="s">
        <v>224</v>
      </c>
      <c r="K171" s="14"/>
      <c r="L171" s="1" t="s">
        <v>192</v>
      </c>
      <c r="M171" s="14" t="s">
        <v>225</v>
      </c>
      <c r="N171" s="14"/>
    </row>
    <row r="172" spans="1:14" ht="15" customHeight="1" x14ac:dyDescent="0.2">
      <c r="A172" s="3" t="s">
        <v>226</v>
      </c>
      <c r="B172" s="4">
        <v>24</v>
      </c>
      <c r="C172" s="3" t="s">
        <v>5</v>
      </c>
      <c r="D172" s="3" t="s">
        <v>190</v>
      </c>
      <c r="E172" s="21" t="s">
        <v>191</v>
      </c>
      <c r="F172" s="21"/>
      <c r="G172" s="5">
        <v>0</v>
      </c>
      <c r="H172" s="3"/>
      <c r="I172" s="3"/>
      <c r="J172" s="21" t="s">
        <v>226</v>
      </c>
      <c r="K172" s="21"/>
      <c r="L172" s="3" t="s">
        <v>192</v>
      </c>
      <c r="M172" s="21" t="s">
        <v>193</v>
      </c>
      <c r="N172" s="21"/>
    </row>
    <row r="173" spans="1:14" ht="15" customHeight="1" x14ac:dyDescent="0.2">
      <c r="A173" s="1" t="s">
        <v>227</v>
      </c>
      <c r="B173" s="6">
        <v>25</v>
      </c>
      <c r="C173" s="1" t="s">
        <v>5</v>
      </c>
      <c r="D173" s="1" t="s">
        <v>195</v>
      </c>
      <c r="E173" s="14" t="s">
        <v>191</v>
      </c>
      <c r="F173" s="14"/>
      <c r="G173" s="7">
        <v>0</v>
      </c>
      <c r="H173" s="1"/>
      <c r="I173" s="1"/>
      <c r="J173" s="14" t="s">
        <v>227</v>
      </c>
      <c r="K173" s="14"/>
      <c r="L173" s="1" t="s">
        <v>192</v>
      </c>
      <c r="M173" s="14" t="s">
        <v>228</v>
      </c>
      <c r="N173" s="14"/>
    </row>
    <row r="174" spans="1:14" ht="15" customHeight="1" x14ac:dyDescent="0.2">
      <c r="A174" s="3" t="s">
        <v>229</v>
      </c>
      <c r="B174" s="4">
        <v>26</v>
      </c>
      <c r="C174" s="3" t="s">
        <v>5</v>
      </c>
      <c r="D174" s="3" t="s">
        <v>190</v>
      </c>
      <c r="E174" s="21" t="s">
        <v>191</v>
      </c>
      <c r="F174" s="21"/>
      <c r="G174" s="5">
        <v>0</v>
      </c>
      <c r="H174" s="3"/>
      <c r="I174" s="3"/>
      <c r="J174" s="21" t="s">
        <v>229</v>
      </c>
      <c r="K174" s="21"/>
      <c r="L174" s="3" t="s">
        <v>192</v>
      </c>
      <c r="M174" s="21" t="s">
        <v>193</v>
      </c>
      <c r="N174" s="21"/>
    </row>
    <row r="175" spans="1:14" ht="15" customHeight="1" x14ac:dyDescent="0.2">
      <c r="A175" s="1" t="s">
        <v>230</v>
      </c>
      <c r="B175" s="6">
        <v>27</v>
      </c>
      <c r="C175" s="1" t="s">
        <v>5</v>
      </c>
      <c r="D175" s="1" t="s">
        <v>195</v>
      </c>
      <c r="E175" s="14" t="s">
        <v>191</v>
      </c>
      <c r="F175" s="14"/>
      <c r="G175" s="7">
        <v>0</v>
      </c>
      <c r="H175" s="1"/>
      <c r="I175" s="1"/>
      <c r="J175" s="14" t="s">
        <v>230</v>
      </c>
      <c r="K175" s="14"/>
      <c r="L175" s="1" t="s">
        <v>192</v>
      </c>
      <c r="M175" s="14" t="s">
        <v>231</v>
      </c>
      <c r="N175" s="14"/>
    </row>
    <row r="176" spans="1:14" ht="15" customHeight="1" x14ac:dyDescent="0.2">
      <c r="A176" s="3" t="s">
        <v>232</v>
      </c>
      <c r="B176" s="4">
        <v>28</v>
      </c>
      <c r="C176" s="3" t="s">
        <v>5</v>
      </c>
      <c r="D176" s="3" t="s">
        <v>190</v>
      </c>
      <c r="E176" s="21" t="s">
        <v>191</v>
      </c>
      <c r="F176" s="21"/>
      <c r="G176" s="5">
        <v>0</v>
      </c>
      <c r="H176" s="3"/>
      <c r="I176" s="3"/>
      <c r="J176" s="21" t="s">
        <v>232</v>
      </c>
      <c r="K176" s="21"/>
      <c r="L176" s="3" t="s">
        <v>192</v>
      </c>
      <c r="M176" s="21" t="s">
        <v>193</v>
      </c>
      <c r="N176" s="21"/>
    </row>
    <row r="177" spans="1:14" ht="15" customHeight="1" x14ac:dyDescent="0.2">
      <c r="A177" s="1" t="s">
        <v>233</v>
      </c>
      <c r="B177" s="6">
        <v>29</v>
      </c>
      <c r="C177" s="1" t="s">
        <v>5</v>
      </c>
      <c r="D177" s="1" t="s">
        <v>195</v>
      </c>
      <c r="E177" s="14" t="s">
        <v>191</v>
      </c>
      <c r="F177" s="14"/>
      <c r="G177" s="7">
        <v>0</v>
      </c>
      <c r="H177" s="1"/>
      <c r="I177" s="1"/>
      <c r="J177" s="14" t="s">
        <v>233</v>
      </c>
      <c r="K177" s="14"/>
      <c r="L177" s="1" t="s">
        <v>192</v>
      </c>
      <c r="M177" s="14" t="s">
        <v>234</v>
      </c>
      <c r="N177" s="14"/>
    </row>
    <row r="178" spans="1:14" ht="15" customHeight="1" x14ac:dyDescent="0.2">
      <c r="A178" s="3" t="s">
        <v>235</v>
      </c>
      <c r="B178" s="4">
        <v>30</v>
      </c>
      <c r="C178" s="3" t="s">
        <v>5</v>
      </c>
      <c r="D178" s="3" t="s">
        <v>190</v>
      </c>
      <c r="E178" s="21" t="s">
        <v>191</v>
      </c>
      <c r="F178" s="21"/>
      <c r="G178" s="5">
        <v>0</v>
      </c>
      <c r="H178" s="3"/>
      <c r="I178" s="3"/>
      <c r="J178" s="21" t="s">
        <v>235</v>
      </c>
      <c r="K178" s="21"/>
      <c r="L178" s="3" t="s">
        <v>192</v>
      </c>
      <c r="M178" s="21" t="s">
        <v>193</v>
      </c>
      <c r="N178" s="21"/>
    </row>
    <row r="179" spans="1:14" ht="15" customHeight="1" x14ac:dyDescent="0.2">
      <c r="A179" s="1" t="s">
        <v>236</v>
      </c>
      <c r="B179" s="6">
        <v>31</v>
      </c>
      <c r="C179" s="1" t="s">
        <v>5</v>
      </c>
      <c r="D179" s="1" t="s">
        <v>195</v>
      </c>
      <c r="E179" s="14" t="s">
        <v>191</v>
      </c>
      <c r="F179" s="14"/>
      <c r="G179" s="7">
        <v>0</v>
      </c>
      <c r="H179" s="1"/>
      <c r="I179" s="1"/>
      <c r="J179" s="14" t="s">
        <v>236</v>
      </c>
      <c r="K179" s="14"/>
      <c r="L179" s="1" t="s">
        <v>192</v>
      </c>
      <c r="M179" s="14" t="s">
        <v>237</v>
      </c>
      <c r="N179" s="14"/>
    </row>
    <row r="180" spans="1:14" ht="15" customHeight="1" x14ac:dyDescent="0.2">
      <c r="A180" s="3" t="s">
        <v>238</v>
      </c>
      <c r="B180" s="4">
        <v>32</v>
      </c>
      <c r="C180" s="3" t="s">
        <v>5</v>
      </c>
      <c r="D180" s="3" t="s">
        <v>190</v>
      </c>
      <c r="E180" s="21" t="s">
        <v>191</v>
      </c>
      <c r="F180" s="21"/>
      <c r="G180" s="5">
        <v>0</v>
      </c>
      <c r="H180" s="3"/>
      <c r="I180" s="3"/>
      <c r="J180" s="21" t="s">
        <v>238</v>
      </c>
      <c r="K180" s="21"/>
      <c r="L180" s="3" t="s">
        <v>192</v>
      </c>
      <c r="M180" s="21" t="s">
        <v>193</v>
      </c>
      <c r="N180" s="21"/>
    </row>
    <row r="181" spans="1:14" ht="15" customHeight="1" x14ac:dyDescent="0.2">
      <c r="A181" s="1" t="s">
        <v>239</v>
      </c>
      <c r="B181" s="6">
        <v>33</v>
      </c>
      <c r="C181" s="1" t="s">
        <v>5</v>
      </c>
      <c r="D181" s="1" t="s">
        <v>195</v>
      </c>
      <c r="E181" s="14" t="s">
        <v>191</v>
      </c>
      <c r="F181" s="14"/>
      <c r="G181" s="7">
        <v>0</v>
      </c>
      <c r="H181" s="1"/>
      <c r="I181" s="1"/>
      <c r="J181" s="14" t="s">
        <v>239</v>
      </c>
      <c r="K181" s="14"/>
      <c r="L181" s="1" t="s">
        <v>192</v>
      </c>
      <c r="M181" s="14" t="s">
        <v>240</v>
      </c>
      <c r="N181" s="14"/>
    </row>
    <row r="182" spans="1:14" ht="15" customHeight="1" x14ac:dyDescent="0.2">
      <c r="A182" s="3" t="s">
        <v>241</v>
      </c>
      <c r="B182" s="4">
        <v>34</v>
      </c>
      <c r="C182" s="3" t="s">
        <v>5</v>
      </c>
      <c r="D182" s="3" t="s">
        <v>190</v>
      </c>
      <c r="E182" s="21" t="s">
        <v>191</v>
      </c>
      <c r="F182" s="21"/>
      <c r="G182" s="5">
        <v>0</v>
      </c>
      <c r="H182" s="3"/>
      <c r="I182" s="3"/>
      <c r="J182" s="21" t="s">
        <v>241</v>
      </c>
      <c r="K182" s="21"/>
      <c r="L182" s="3" t="s">
        <v>192</v>
      </c>
      <c r="M182" s="21" t="s">
        <v>193</v>
      </c>
      <c r="N182" s="21"/>
    </row>
    <row r="183" spans="1:14" ht="15" customHeight="1" x14ac:dyDescent="0.2">
      <c r="A183" s="1" t="s">
        <v>242</v>
      </c>
      <c r="B183" s="6">
        <v>35</v>
      </c>
      <c r="C183" s="1" t="s">
        <v>5</v>
      </c>
      <c r="D183" s="1" t="s">
        <v>190</v>
      </c>
      <c r="E183" s="14" t="s">
        <v>191</v>
      </c>
      <c r="F183" s="14"/>
      <c r="G183" s="7">
        <v>0</v>
      </c>
      <c r="H183" s="1"/>
      <c r="I183" s="1"/>
      <c r="J183" s="14" t="s">
        <v>242</v>
      </c>
      <c r="K183" s="14"/>
      <c r="L183" s="1" t="s">
        <v>192</v>
      </c>
      <c r="M183" s="14" t="s">
        <v>193</v>
      </c>
      <c r="N183" s="14"/>
    </row>
    <row r="184" spans="1:14" ht="15" customHeight="1" x14ac:dyDescent="0.2">
      <c r="A184" s="3" t="s">
        <v>243</v>
      </c>
      <c r="B184" s="4">
        <v>36</v>
      </c>
      <c r="C184" s="3" t="s">
        <v>5</v>
      </c>
      <c r="D184" s="3" t="s">
        <v>195</v>
      </c>
      <c r="E184" s="21" t="s">
        <v>191</v>
      </c>
      <c r="F184" s="21"/>
      <c r="G184" s="5">
        <v>0</v>
      </c>
      <c r="H184" s="3"/>
      <c r="I184" s="3"/>
      <c r="J184" s="21" t="s">
        <v>243</v>
      </c>
      <c r="K184" s="21"/>
      <c r="L184" s="3" t="s">
        <v>192</v>
      </c>
      <c r="M184" s="21" t="s">
        <v>244</v>
      </c>
      <c r="N184" s="21"/>
    </row>
    <row r="185" spans="1:14" ht="15" customHeight="1" x14ac:dyDescent="0.2">
      <c r="A185" s="1" t="s">
        <v>245</v>
      </c>
      <c r="B185" s="6">
        <v>37</v>
      </c>
      <c r="C185" s="1" t="s">
        <v>5</v>
      </c>
      <c r="D185" s="1" t="s">
        <v>195</v>
      </c>
      <c r="E185" s="14" t="s">
        <v>191</v>
      </c>
      <c r="F185" s="14"/>
      <c r="G185" s="7">
        <v>0</v>
      </c>
      <c r="H185" s="1"/>
      <c r="I185" s="1"/>
      <c r="J185" s="14" t="s">
        <v>245</v>
      </c>
      <c r="K185" s="14"/>
      <c r="L185" s="1" t="s">
        <v>192</v>
      </c>
      <c r="M185" s="14" t="s">
        <v>246</v>
      </c>
      <c r="N185" s="14"/>
    </row>
    <row r="186" spans="1:14" ht="15" customHeight="1" x14ac:dyDescent="0.2">
      <c r="A186" s="3" t="s">
        <v>247</v>
      </c>
      <c r="B186" s="4">
        <v>38</v>
      </c>
      <c r="C186" s="3" t="s">
        <v>5</v>
      </c>
      <c r="D186" s="3" t="s">
        <v>190</v>
      </c>
      <c r="E186" s="21" t="s">
        <v>191</v>
      </c>
      <c r="F186" s="21"/>
      <c r="G186" s="5">
        <v>0</v>
      </c>
      <c r="H186" s="3"/>
      <c r="I186" s="3"/>
      <c r="J186" s="21" t="s">
        <v>247</v>
      </c>
      <c r="K186" s="21"/>
      <c r="L186" s="3" t="s">
        <v>192</v>
      </c>
      <c r="M186" s="21" t="s">
        <v>193</v>
      </c>
      <c r="N186" s="21"/>
    </row>
    <row r="187" spans="1:14" ht="15" customHeight="1" x14ac:dyDescent="0.2">
      <c r="A187" s="1" t="s">
        <v>248</v>
      </c>
      <c r="B187" s="6">
        <v>39</v>
      </c>
      <c r="C187" s="1" t="s">
        <v>5</v>
      </c>
      <c r="D187" s="1" t="s">
        <v>195</v>
      </c>
      <c r="E187" s="14" t="s">
        <v>191</v>
      </c>
      <c r="F187" s="14"/>
      <c r="G187" s="7">
        <v>0</v>
      </c>
      <c r="H187" s="1"/>
      <c r="I187" s="1"/>
      <c r="J187" s="14" t="s">
        <v>248</v>
      </c>
      <c r="K187" s="14"/>
      <c r="L187" s="1" t="s">
        <v>192</v>
      </c>
      <c r="M187" s="14" t="s">
        <v>249</v>
      </c>
      <c r="N187" s="14"/>
    </row>
    <row r="188" spans="1:14" ht="15" customHeight="1" x14ac:dyDescent="0.2">
      <c r="A188" s="3" t="s">
        <v>250</v>
      </c>
      <c r="B188" s="4">
        <v>40</v>
      </c>
      <c r="C188" s="3" t="s">
        <v>5</v>
      </c>
      <c r="D188" s="3" t="s">
        <v>190</v>
      </c>
      <c r="E188" s="21" t="s">
        <v>191</v>
      </c>
      <c r="F188" s="21"/>
      <c r="G188" s="5">
        <v>0</v>
      </c>
      <c r="H188" s="3"/>
      <c r="I188" s="3"/>
      <c r="J188" s="21" t="s">
        <v>250</v>
      </c>
      <c r="K188" s="21"/>
      <c r="L188" s="3" t="s">
        <v>192</v>
      </c>
      <c r="M188" s="21" t="s">
        <v>193</v>
      </c>
      <c r="N188" s="21"/>
    </row>
    <row r="189" spans="1:14" ht="15" customHeight="1" x14ac:dyDescent="0.2">
      <c r="A189" s="1" t="s">
        <v>251</v>
      </c>
      <c r="B189" s="6">
        <v>41</v>
      </c>
      <c r="C189" s="1" t="s">
        <v>5</v>
      </c>
      <c r="D189" s="1" t="s">
        <v>195</v>
      </c>
      <c r="E189" s="14" t="s">
        <v>191</v>
      </c>
      <c r="F189" s="14"/>
      <c r="G189" s="7">
        <v>0</v>
      </c>
      <c r="H189" s="1"/>
      <c r="I189" s="1"/>
      <c r="J189" s="14" t="s">
        <v>251</v>
      </c>
      <c r="K189" s="14"/>
      <c r="L189" s="1" t="s">
        <v>192</v>
      </c>
      <c r="M189" s="14" t="s">
        <v>252</v>
      </c>
      <c r="N189" s="14"/>
    </row>
    <row r="190" spans="1:14" ht="15" customHeight="1" x14ac:dyDescent="0.2">
      <c r="A190" s="3" t="s">
        <v>253</v>
      </c>
      <c r="B190" s="4">
        <v>42</v>
      </c>
      <c r="C190" s="3" t="s">
        <v>5</v>
      </c>
      <c r="D190" s="3" t="s">
        <v>190</v>
      </c>
      <c r="E190" s="21" t="s">
        <v>191</v>
      </c>
      <c r="F190" s="21"/>
      <c r="G190" s="5">
        <v>0</v>
      </c>
      <c r="H190" s="3"/>
      <c r="I190" s="3"/>
      <c r="J190" s="21" t="s">
        <v>253</v>
      </c>
      <c r="K190" s="21"/>
      <c r="L190" s="3" t="s">
        <v>192</v>
      </c>
      <c r="M190" s="21" t="s">
        <v>193</v>
      </c>
      <c r="N190" s="21"/>
    </row>
    <row r="191" spans="1:14" ht="15" customHeight="1" x14ac:dyDescent="0.2">
      <c r="A191" s="1" t="s">
        <v>254</v>
      </c>
      <c r="B191" s="6">
        <v>43</v>
      </c>
      <c r="C191" s="1" t="s">
        <v>5</v>
      </c>
      <c r="D191" s="1" t="s">
        <v>195</v>
      </c>
      <c r="E191" s="14" t="s">
        <v>191</v>
      </c>
      <c r="F191" s="14"/>
      <c r="G191" s="7">
        <v>0</v>
      </c>
      <c r="H191" s="1"/>
      <c r="I191" s="1"/>
      <c r="J191" s="14" t="s">
        <v>254</v>
      </c>
      <c r="K191" s="14"/>
      <c r="L191" s="1" t="s">
        <v>192</v>
      </c>
      <c r="M191" s="14" t="s">
        <v>255</v>
      </c>
      <c r="N191" s="14"/>
    </row>
    <row r="192" spans="1:14" ht="15" customHeight="1" x14ac:dyDescent="0.2">
      <c r="A192" s="3" t="s">
        <v>256</v>
      </c>
      <c r="B192" s="4">
        <v>44</v>
      </c>
      <c r="C192" s="3" t="s">
        <v>5</v>
      </c>
      <c r="D192" s="3" t="s">
        <v>190</v>
      </c>
      <c r="E192" s="21" t="s">
        <v>191</v>
      </c>
      <c r="F192" s="21"/>
      <c r="G192" s="5">
        <v>0</v>
      </c>
      <c r="H192" s="3"/>
      <c r="I192" s="3"/>
      <c r="J192" s="21" t="s">
        <v>256</v>
      </c>
      <c r="K192" s="21"/>
      <c r="L192" s="3" t="s">
        <v>192</v>
      </c>
      <c r="M192" s="21" t="s">
        <v>193</v>
      </c>
      <c r="N192" s="21"/>
    </row>
    <row r="193" spans="1:14" ht="15" customHeight="1" x14ac:dyDescent="0.2">
      <c r="A193" s="1" t="s">
        <v>257</v>
      </c>
      <c r="B193" s="6">
        <v>45</v>
      </c>
      <c r="C193" s="1" t="s">
        <v>5</v>
      </c>
      <c r="D193" s="1" t="s">
        <v>195</v>
      </c>
      <c r="E193" s="14" t="s">
        <v>191</v>
      </c>
      <c r="F193" s="14"/>
      <c r="G193" s="7">
        <v>0</v>
      </c>
      <c r="H193" s="1"/>
      <c r="I193" s="1"/>
      <c r="J193" s="14" t="s">
        <v>257</v>
      </c>
      <c r="K193" s="14"/>
      <c r="L193" s="1" t="s">
        <v>192</v>
      </c>
      <c r="M193" s="14" t="s">
        <v>258</v>
      </c>
      <c r="N193" s="14"/>
    </row>
    <row r="194" spans="1:14" ht="15" customHeight="1" x14ac:dyDescent="0.2">
      <c r="A194" s="3" t="s">
        <v>259</v>
      </c>
      <c r="B194" s="4">
        <v>46</v>
      </c>
      <c r="C194" s="3" t="s">
        <v>5</v>
      </c>
      <c r="D194" s="3" t="s">
        <v>190</v>
      </c>
      <c r="E194" s="21" t="s">
        <v>191</v>
      </c>
      <c r="F194" s="21"/>
      <c r="G194" s="5">
        <v>0</v>
      </c>
      <c r="H194" s="3"/>
      <c r="I194" s="3"/>
      <c r="J194" s="21" t="s">
        <v>259</v>
      </c>
      <c r="K194" s="21"/>
      <c r="L194" s="3" t="s">
        <v>192</v>
      </c>
      <c r="M194" s="21" t="s">
        <v>193</v>
      </c>
      <c r="N194" s="21"/>
    </row>
    <row r="195" spans="1:14" ht="15" customHeight="1" x14ac:dyDescent="0.2">
      <c r="A195" s="1" t="s">
        <v>260</v>
      </c>
      <c r="B195" s="6">
        <v>47</v>
      </c>
      <c r="C195" s="1" t="s">
        <v>5</v>
      </c>
      <c r="D195" s="1" t="s">
        <v>195</v>
      </c>
      <c r="E195" s="14" t="s">
        <v>191</v>
      </c>
      <c r="F195" s="14"/>
      <c r="G195" s="7">
        <v>0</v>
      </c>
      <c r="H195" s="1"/>
      <c r="I195" s="1"/>
      <c r="J195" s="14" t="s">
        <v>260</v>
      </c>
      <c r="K195" s="14"/>
      <c r="L195" s="1" t="s">
        <v>192</v>
      </c>
      <c r="M195" s="14" t="s">
        <v>261</v>
      </c>
      <c r="N195" s="14"/>
    </row>
    <row r="196" spans="1:14" ht="15" customHeight="1" x14ac:dyDescent="0.2">
      <c r="A196" s="3" t="s">
        <v>262</v>
      </c>
      <c r="B196" s="4">
        <v>48</v>
      </c>
      <c r="C196" s="3" t="s">
        <v>5</v>
      </c>
      <c r="D196" s="3" t="s">
        <v>190</v>
      </c>
      <c r="E196" s="21" t="s">
        <v>191</v>
      </c>
      <c r="F196" s="21"/>
      <c r="G196" s="5">
        <v>0</v>
      </c>
      <c r="H196" s="3"/>
      <c r="I196" s="3"/>
      <c r="J196" s="21" t="s">
        <v>262</v>
      </c>
      <c r="K196" s="21"/>
      <c r="L196" s="3" t="s">
        <v>192</v>
      </c>
      <c r="M196" s="21" t="s">
        <v>193</v>
      </c>
      <c r="N196" s="21"/>
    </row>
    <row r="197" spans="1:14" ht="15" customHeight="1" x14ac:dyDescent="0.2">
      <c r="A197" s="1" t="s">
        <v>263</v>
      </c>
      <c r="B197" s="6">
        <v>49</v>
      </c>
      <c r="C197" s="1" t="s">
        <v>5</v>
      </c>
      <c r="D197" s="1" t="s">
        <v>195</v>
      </c>
      <c r="E197" s="14" t="s">
        <v>191</v>
      </c>
      <c r="F197" s="14"/>
      <c r="G197" s="7">
        <v>0</v>
      </c>
      <c r="H197" s="1"/>
      <c r="I197" s="1"/>
      <c r="J197" s="14" t="s">
        <v>263</v>
      </c>
      <c r="K197" s="14"/>
      <c r="L197" s="1" t="s">
        <v>192</v>
      </c>
      <c r="M197" s="14" t="s">
        <v>264</v>
      </c>
      <c r="N197" s="14"/>
    </row>
    <row r="198" spans="1:14" ht="15" customHeight="1" x14ac:dyDescent="0.2">
      <c r="A198" s="3" t="s">
        <v>265</v>
      </c>
      <c r="B198" s="4">
        <v>50</v>
      </c>
      <c r="C198" s="3" t="s">
        <v>5</v>
      </c>
      <c r="D198" s="3" t="s">
        <v>190</v>
      </c>
      <c r="E198" s="21" t="s">
        <v>191</v>
      </c>
      <c r="F198" s="21"/>
      <c r="G198" s="5">
        <v>0</v>
      </c>
      <c r="H198" s="3"/>
      <c r="I198" s="3"/>
      <c r="J198" s="21" t="s">
        <v>265</v>
      </c>
      <c r="K198" s="21"/>
      <c r="L198" s="3" t="s">
        <v>192</v>
      </c>
      <c r="M198" s="21" t="s">
        <v>193</v>
      </c>
      <c r="N198" s="21"/>
    </row>
    <row r="199" spans="1:14" ht="15" customHeight="1" x14ac:dyDescent="0.2">
      <c r="A199" s="1" t="s">
        <v>266</v>
      </c>
      <c r="B199" s="6">
        <v>51</v>
      </c>
      <c r="C199" s="1" t="s">
        <v>5</v>
      </c>
      <c r="D199" s="1" t="s">
        <v>195</v>
      </c>
      <c r="E199" s="14" t="s">
        <v>191</v>
      </c>
      <c r="F199" s="14"/>
      <c r="G199" s="7">
        <v>0</v>
      </c>
      <c r="H199" s="1"/>
      <c r="I199" s="1"/>
      <c r="J199" s="14" t="s">
        <v>266</v>
      </c>
      <c r="K199" s="14"/>
      <c r="L199" s="1" t="s">
        <v>192</v>
      </c>
      <c r="M199" s="14" t="s">
        <v>267</v>
      </c>
      <c r="N199" s="14"/>
    </row>
    <row r="200" spans="1:14" ht="15" customHeight="1" x14ac:dyDescent="0.2">
      <c r="A200" s="3" t="s">
        <v>268</v>
      </c>
      <c r="B200" s="4">
        <v>52</v>
      </c>
      <c r="C200" s="3" t="s">
        <v>5</v>
      </c>
      <c r="D200" s="3" t="s">
        <v>190</v>
      </c>
      <c r="E200" s="21" t="s">
        <v>191</v>
      </c>
      <c r="F200" s="21"/>
      <c r="G200" s="5">
        <v>0</v>
      </c>
      <c r="H200" s="3"/>
      <c r="I200" s="3"/>
      <c r="J200" s="21" t="s">
        <v>268</v>
      </c>
      <c r="K200" s="21"/>
      <c r="L200" s="3" t="s">
        <v>192</v>
      </c>
      <c r="M200" s="21" t="s">
        <v>193</v>
      </c>
      <c r="N200" s="21"/>
    </row>
    <row r="201" spans="1:14" ht="15" customHeight="1" x14ac:dyDescent="0.2">
      <c r="A201" s="1" t="s">
        <v>269</v>
      </c>
      <c r="B201" s="6">
        <v>53</v>
      </c>
      <c r="C201" s="1" t="s">
        <v>5</v>
      </c>
      <c r="D201" s="1" t="s">
        <v>195</v>
      </c>
      <c r="E201" s="14" t="s">
        <v>191</v>
      </c>
      <c r="F201" s="14"/>
      <c r="G201" s="7">
        <v>0</v>
      </c>
      <c r="H201" s="1"/>
      <c r="I201" s="1"/>
      <c r="J201" s="14" t="s">
        <v>269</v>
      </c>
      <c r="K201" s="14"/>
      <c r="L201" s="1" t="s">
        <v>192</v>
      </c>
      <c r="M201" s="14" t="s">
        <v>270</v>
      </c>
      <c r="N201" s="14"/>
    </row>
    <row r="202" spans="1:14" ht="15" customHeight="1" x14ac:dyDescent="0.2">
      <c r="A202" s="3" t="s">
        <v>271</v>
      </c>
      <c r="B202" s="4">
        <v>54</v>
      </c>
      <c r="C202" s="3" t="s">
        <v>5</v>
      </c>
      <c r="D202" s="3" t="s">
        <v>190</v>
      </c>
      <c r="E202" s="21" t="s">
        <v>191</v>
      </c>
      <c r="F202" s="21"/>
      <c r="G202" s="5">
        <v>0</v>
      </c>
      <c r="H202" s="3"/>
      <c r="I202" s="3"/>
      <c r="J202" s="21" t="s">
        <v>271</v>
      </c>
      <c r="K202" s="21"/>
      <c r="L202" s="3" t="s">
        <v>192</v>
      </c>
      <c r="M202" s="21" t="s">
        <v>193</v>
      </c>
      <c r="N202" s="21"/>
    </row>
    <row r="203" spans="1:14" ht="15" customHeight="1" x14ac:dyDescent="0.2">
      <c r="A203" s="1" t="s">
        <v>272</v>
      </c>
      <c r="B203" s="6">
        <v>55</v>
      </c>
      <c r="C203" s="1" t="s">
        <v>5</v>
      </c>
      <c r="D203" s="1" t="s">
        <v>195</v>
      </c>
      <c r="E203" s="14" t="s">
        <v>191</v>
      </c>
      <c r="F203" s="14"/>
      <c r="G203" s="7">
        <v>0</v>
      </c>
      <c r="H203" s="1"/>
      <c r="I203" s="1"/>
      <c r="J203" s="14" t="s">
        <v>272</v>
      </c>
      <c r="K203" s="14"/>
      <c r="L203" s="1" t="s">
        <v>192</v>
      </c>
      <c r="M203" s="14" t="s">
        <v>273</v>
      </c>
      <c r="N203" s="14"/>
    </row>
    <row r="204" spans="1:14" ht="15" customHeight="1" x14ac:dyDescent="0.2">
      <c r="A204" s="3" t="s">
        <v>274</v>
      </c>
      <c r="B204" s="4">
        <v>56</v>
      </c>
      <c r="C204" s="3" t="s">
        <v>5</v>
      </c>
      <c r="D204" s="3" t="s">
        <v>190</v>
      </c>
      <c r="E204" s="21" t="s">
        <v>191</v>
      </c>
      <c r="F204" s="21"/>
      <c r="G204" s="5">
        <v>0</v>
      </c>
      <c r="H204" s="3"/>
      <c r="I204" s="3"/>
      <c r="J204" s="21" t="s">
        <v>274</v>
      </c>
      <c r="K204" s="21"/>
      <c r="L204" s="3" t="s">
        <v>192</v>
      </c>
      <c r="M204" s="21" t="s">
        <v>193</v>
      </c>
      <c r="N204" s="21"/>
    </row>
    <row r="205" spans="1:14" ht="15" customHeight="1" x14ac:dyDescent="0.2">
      <c r="A205" s="1" t="s">
        <v>275</v>
      </c>
      <c r="B205" s="6">
        <v>57</v>
      </c>
      <c r="C205" s="1" t="s">
        <v>5</v>
      </c>
      <c r="D205" s="1" t="s">
        <v>195</v>
      </c>
      <c r="E205" s="14" t="s">
        <v>191</v>
      </c>
      <c r="F205" s="14"/>
      <c r="G205" s="7">
        <v>0</v>
      </c>
      <c r="H205" s="1"/>
      <c r="I205" s="1"/>
      <c r="J205" s="14" t="s">
        <v>275</v>
      </c>
      <c r="K205" s="14"/>
      <c r="L205" s="1" t="s">
        <v>192</v>
      </c>
      <c r="M205" s="14" t="s">
        <v>276</v>
      </c>
      <c r="N205" s="14"/>
    </row>
    <row r="206" spans="1:14" ht="15" customHeight="1" x14ac:dyDescent="0.2">
      <c r="A206" s="3" t="s">
        <v>277</v>
      </c>
      <c r="B206" s="4">
        <v>58</v>
      </c>
      <c r="C206" s="3" t="s">
        <v>5</v>
      </c>
      <c r="D206" s="3" t="s">
        <v>190</v>
      </c>
      <c r="E206" s="21" t="s">
        <v>191</v>
      </c>
      <c r="F206" s="21"/>
      <c r="G206" s="5">
        <v>0</v>
      </c>
      <c r="H206" s="3"/>
      <c r="I206" s="3"/>
      <c r="J206" s="21" t="s">
        <v>277</v>
      </c>
      <c r="K206" s="21"/>
      <c r="L206" s="3" t="s">
        <v>192</v>
      </c>
      <c r="M206" s="21" t="s">
        <v>193</v>
      </c>
      <c r="N206" s="21"/>
    </row>
    <row r="207" spans="1:14" ht="15" customHeight="1" x14ac:dyDescent="0.2">
      <c r="A207" s="1" t="s">
        <v>278</v>
      </c>
      <c r="B207" s="6">
        <v>59</v>
      </c>
      <c r="C207" s="1" t="s">
        <v>5</v>
      </c>
      <c r="D207" s="1" t="s">
        <v>195</v>
      </c>
      <c r="E207" s="14" t="s">
        <v>191</v>
      </c>
      <c r="F207" s="14"/>
      <c r="G207" s="7">
        <v>0</v>
      </c>
      <c r="H207" s="1"/>
      <c r="I207" s="1"/>
      <c r="J207" s="14" t="s">
        <v>278</v>
      </c>
      <c r="K207" s="14"/>
      <c r="L207" s="1" t="s">
        <v>192</v>
      </c>
      <c r="M207" s="14" t="s">
        <v>279</v>
      </c>
      <c r="N207" s="14"/>
    </row>
    <row r="208" spans="1:14" ht="15" customHeight="1" x14ac:dyDescent="0.2">
      <c r="A208" s="3" t="s">
        <v>280</v>
      </c>
      <c r="B208" s="4">
        <v>60</v>
      </c>
      <c r="C208" s="3" t="s">
        <v>5</v>
      </c>
      <c r="D208" s="3" t="s">
        <v>190</v>
      </c>
      <c r="E208" s="21" t="s">
        <v>191</v>
      </c>
      <c r="F208" s="21"/>
      <c r="G208" s="5">
        <v>0</v>
      </c>
      <c r="H208" s="3"/>
      <c r="I208" s="3"/>
      <c r="J208" s="21" t="s">
        <v>280</v>
      </c>
      <c r="K208" s="21"/>
      <c r="L208" s="3" t="s">
        <v>192</v>
      </c>
      <c r="M208" s="21" t="s">
        <v>193</v>
      </c>
      <c r="N208" s="21"/>
    </row>
    <row r="209" spans="1:14" ht="15" customHeight="1" x14ac:dyDescent="0.2">
      <c r="A209" s="1" t="s">
        <v>281</v>
      </c>
      <c r="B209" s="6">
        <v>61</v>
      </c>
      <c r="C209" s="1" t="s">
        <v>5</v>
      </c>
      <c r="D209" s="1" t="s">
        <v>195</v>
      </c>
      <c r="E209" s="14" t="s">
        <v>191</v>
      </c>
      <c r="F209" s="14"/>
      <c r="G209" s="7">
        <v>0</v>
      </c>
      <c r="H209" s="1"/>
      <c r="I209" s="1"/>
      <c r="J209" s="14" t="s">
        <v>281</v>
      </c>
      <c r="K209" s="14"/>
      <c r="L209" s="1" t="s">
        <v>192</v>
      </c>
      <c r="M209" s="14" t="s">
        <v>282</v>
      </c>
      <c r="N209" s="14"/>
    </row>
    <row r="210" spans="1:14" ht="15" customHeight="1" x14ac:dyDescent="0.2">
      <c r="A210" s="3" t="s">
        <v>283</v>
      </c>
      <c r="B210" s="4">
        <v>62</v>
      </c>
      <c r="C210" s="3" t="s">
        <v>5</v>
      </c>
      <c r="D210" s="3" t="s">
        <v>190</v>
      </c>
      <c r="E210" s="21" t="s">
        <v>191</v>
      </c>
      <c r="F210" s="21"/>
      <c r="G210" s="5">
        <v>0</v>
      </c>
      <c r="H210" s="3"/>
      <c r="I210" s="3"/>
      <c r="J210" s="21" t="s">
        <v>283</v>
      </c>
      <c r="K210" s="21"/>
      <c r="L210" s="3" t="s">
        <v>192</v>
      </c>
      <c r="M210" s="21" t="s">
        <v>193</v>
      </c>
      <c r="N210" s="21"/>
    </row>
    <row r="211" spans="1:14" ht="15" customHeight="1" x14ac:dyDescent="0.2">
      <c r="A211" s="1" t="s">
        <v>284</v>
      </c>
      <c r="B211" s="6">
        <v>63</v>
      </c>
      <c r="C211" s="1" t="s">
        <v>5</v>
      </c>
      <c r="D211" s="1" t="s">
        <v>195</v>
      </c>
      <c r="E211" s="14" t="s">
        <v>191</v>
      </c>
      <c r="F211" s="14"/>
      <c r="G211" s="7">
        <v>0</v>
      </c>
      <c r="H211" s="1"/>
      <c r="I211" s="1"/>
      <c r="J211" s="14" t="s">
        <v>284</v>
      </c>
      <c r="K211" s="14"/>
      <c r="L211" s="1" t="s">
        <v>192</v>
      </c>
      <c r="M211" s="14" t="s">
        <v>285</v>
      </c>
      <c r="N211" s="14"/>
    </row>
    <row r="212" spans="1:14" ht="15" customHeight="1" x14ac:dyDescent="0.2">
      <c r="A212" s="3" t="s">
        <v>286</v>
      </c>
      <c r="B212" s="4">
        <v>64</v>
      </c>
      <c r="C212" s="3" t="s">
        <v>5</v>
      </c>
      <c r="D212" s="3" t="s">
        <v>190</v>
      </c>
      <c r="E212" s="21" t="s">
        <v>191</v>
      </c>
      <c r="F212" s="21"/>
      <c r="G212" s="5">
        <v>0</v>
      </c>
      <c r="H212" s="3"/>
      <c r="I212" s="3"/>
      <c r="J212" s="21" t="s">
        <v>286</v>
      </c>
      <c r="K212" s="21"/>
      <c r="L212" s="3" t="s">
        <v>192</v>
      </c>
      <c r="M212" s="21" t="s">
        <v>193</v>
      </c>
      <c r="N212" s="21"/>
    </row>
    <row r="213" spans="1:14" ht="15" customHeight="1" x14ac:dyDescent="0.2">
      <c r="A213" s="1" t="s">
        <v>287</v>
      </c>
      <c r="B213" s="6">
        <v>65</v>
      </c>
      <c r="C213" s="1" t="s">
        <v>5</v>
      </c>
      <c r="D213" s="1" t="s">
        <v>195</v>
      </c>
      <c r="E213" s="14" t="s">
        <v>191</v>
      </c>
      <c r="F213" s="14"/>
      <c r="G213" s="7">
        <v>0</v>
      </c>
      <c r="H213" s="1"/>
      <c r="I213" s="1"/>
      <c r="J213" s="14" t="s">
        <v>287</v>
      </c>
      <c r="K213" s="14"/>
      <c r="L213" s="1" t="s">
        <v>192</v>
      </c>
      <c r="M213" s="14" t="s">
        <v>288</v>
      </c>
      <c r="N213" s="14"/>
    </row>
    <row r="214" spans="1:14" ht="15" customHeight="1" x14ac:dyDescent="0.2">
      <c r="A214" s="3" t="s">
        <v>289</v>
      </c>
      <c r="B214" s="4">
        <v>66</v>
      </c>
      <c r="C214" s="3" t="s">
        <v>5</v>
      </c>
      <c r="D214" s="3" t="s">
        <v>190</v>
      </c>
      <c r="E214" s="21" t="s">
        <v>191</v>
      </c>
      <c r="F214" s="21"/>
      <c r="G214" s="5">
        <v>0</v>
      </c>
      <c r="H214" s="3"/>
      <c r="I214" s="3"/>
      <c r="J214" s="21" t="s">
        <v>289</v>
      </c>
      <c r="K214" s="21"/>
      <c r="L214" s="3" t="s">
        <v>192</v>
      </c>
      <c r="M214" s="21" t="s">
        <v>193</v>
      </c>
      <c r="N214" s="21"/>
    </row>
    <row r="215" spans="1:14" ht="15" customHeight="1" x14ac:dyDescent="0.2">
      <c r="A215" s="1" t="s">
        <v>290</v>
      </c>
      <c r="B215" s="6">
        <v>67</v>
      </c>
      <c r="C215" s="1" t="s">
        <v>5</v>
      </c>
      <c r="D215" s="1" t="s">
        <v>195</v>
      </c>
      <c r="E215" s="14" t="s">
        <v>191</v>
      </c>
      <c r="F215" s="14"/>
      <c r="G215" s="7">
        <v>0</v>
      </c>
      <c r="H215" s="1"/>
      <c r="I215" s="1"/>
      <c r="J215" s="14" t="s">
        <v>290</v>
      </c>
      <c r="K215" s="14"/>
      <c r="L215" s="1" t="s">
        <v>192</v>
      </c>
      <c r="M215" s="14" t="s">
        <v>291</v>
      </c>
      <c r="N215" s="14"/>
    </row>
    <row r="216" spans="1:14" ht="15" customHeight="1" x14ac:dyDescent="0.2">
      <c r="A216" s="3" t="s">
        <v>292</v>
      </c>
      <c r="B216" s="4">
        <v>68</v>
      </c>
      <c r="C216" s="3" t="s">
        <v>5</v>
      </c>
      <c r="D216" s="3" t="s">
        <v>190</v>
      </c>
      <c r="E216" s="21" t="s">
        <v>191</v>
      </c>
      <c r="F216" s="21"/>
      <c r="G216" s="5">
        <v>0</v>
      </c>
      <c r="H216" s="3"/>
      <c r="I216" s="3"/>
      <c r="J216" s="21" t="s">
        <v>292</v>
      </c>
      <c r="K216" s="21"/>
      <c r="L216" s="3" t="s">
        <v>192</v>
      </c>
      <c r="M216" s="21" t="s">
        <v>193</v>
      </c>
      <c r="N216" s="21"/>
    </row>
    <row r="217" spans="1:14" ht="15" customHeight="1" x14ac:dyDescent="0.2">
      <c r="A217" s="1" t="s">
        <v>293</v>
      </c>
      <c r="B217" s="6">
        <v>69</v>
      </c>
      <c r="C217" s="1" t="s">
        <v>5</v>
      </c>
      <c r="D217" s="1" t="s">
        <v>195</v>
      </c>
      <c r="E217" s="14" t="s">
        <v>191</v>
      </c>
      <c r="F217" s="14"/>
      <c r="G217" s="7">
        <v>0</v>
      </c>
      <c r="H217" s="1"/>
      <c r="I217" s="1"/>
      <c r="J217" s="14" t="s">
        <v>293</v>
      </c>
      <c r="K217" s="14"/>
      <c r="L217" s="1" t="s">
        <v>192</v>
      </c>
      <c r="M217" s="14" t="s">
        <v>294</v>
      </c>
      <c r="N217" s="14"/>
    </row>
    <row r="218" spans="1:14" ht="15" customHeight="1" x14ac:dyDescent="0.2">
      <c r="A218" s="3" t="s">
        <v>295</v>
      </c>
      <c r="B218" s="4">
        <v>70</v>
      </c>
      <c r="C218" s="3" t="s">
        <v>5</v>
      </c>
      <c r="D218" s="3" t="s">
        <v>190</v>
      </c>
      <c r="E218" s="21" t="s">
        <v>191</v>
      </c>
      <c r="F218" s="21"/>
      <c r="G218" s="5">
        <v>0</v>
      </c>
      <c r="H218" s="3"/>
      <c r="I218" s="3"/>
      <c r="J218" s="21" t="s">
        <v>295</v>
      </c>
      <c r="K218" s="21"/>
      <c r="L218" s="3" t="s">
        <v>192</v>
      </c>
      <c r="M218" s="21" t="s">
        <v>193</v>
      </c>
      <c r="N218" s="21"/>
    </row>
    <row r="219" spans="1:14" ht="15" customHeight="1" x14ac:dyDescent="0.2">
      <c r="A219" s="1" t="s">
        <v>296</v>
      </c>
      <c r="B219" s="6">
        <v>71</v>
      </c>
      <c r="C219" s="1" t="s">
        <v>5</v>
      </c>
      <c r="D219" s="1" t="s">
        <v>195</v>
      </c>
      <c r="E219" s="14" t="s">
        <v>191</v>
      </c>
      <c r="F219" s="14"/>
      <c r="G219" s="7">
        <v>0</v>
      </c>
      <c r="H219" s="1"/>
      <c r="I219" s="1"/>
      <c r="J219" s="14" t="s">
        <v>296</v>
      </c>
      <c r="K219" s="14"/>
      <c r="L219" s="1" t="s">
        <v>192</v>
      </c>
      <c r="M219" s="14" t="s">
        <v>297</v>
      </c>
      <c r="N219" s="14"/>
    </row>
    <row r="220" spans="1:14" ht="15" customHeight="1" x14ac:dyDescent="0.2">
      <c r="A220" s="3" t="s">
        <v>298</v>
      </c>
      <c r="B220" s="4">
        <v>72</v>
      </c>
      <c r="C220" s="3" t="s">
        <v>5</v>
      </c>
      <c r="D220" s="3" t="s">
        <v>190</v>
      </c>
      <c r="E220" s="21" t="s">
        <v>191</v>
      </c>
      <c r="F220" s="21"/>
      <c r="G220" s="5">
        <v>0</v>
      </c>
      <c r="H220" s="3"/>
      <c r="I220" s="3"/>
      <c r="J220" s="21" t="s">
        <v>298</v>
      </c>
      <c r="K220" s="21"/>
      <c r="L220" s="3" t="s">
        <v>192</v>
      </c>
      <c r="M220" s="21" t="s">
        <v>193</v>
      </c>
      <c r="N220" s="21"/>
    </row>
    <row r="221" spans="1:14" ht="15" customHeight="1" x14ac:dyDescent="0.2">
      <c r="A221" s="1" t="s">
        <v>299</v>
      </c>
      <c r="B221" s="6">
        <v>73</v>
      </c>
      <c r="C221" s="1" t="s">
        <v>5</v>
      </c>
      <c r="D221" s="1" t="s">
        <v>195</v>
      </c>
      <c r="E221" s="14" t="s">
        <v>191</v>
      </c>
      <c r="F221" s="14"/>
      <c r="G221" s="7">
        <v>0</v>
      </c>
      <c r="H221" s="1"/>
      <c r="I221" s="1"/>
      <c r="J221" s="14" t="s">
        <v>299</v>
      </c>
      <c r="K221" s="14"/>
      <c r="L221" s="1" t="s">
        <v>192</v>
      </c>
      <c r="M221" s="14" t="s">
        <v>300</v>
      </c>
      <c r="N221" s="14"/>
    </row>
    <row r="222" spans="1:14" ht="15" customHeight="1" x14ac:dyDescent="0.2">
      <c r="A222" s="3" t="s">
        <v>301</v>
      </c>
      <c r="B222" s="4">
        <v>74</v>
      </c>
      <c r="C222" s="3" t="s">
        <v>5</v>
      </c>
      <c r="D222" s="3" t="s">
        <v>190</v>
      </c>
      <c r="E222" s="21" t="s">
        <v>191</v>
      </c>
      <c r="F222" s="21"/>
      <c r="G222" s="5">
        <v>0</v>
      </c>
      <c r="H222" s="3"/>
      <c r="I222" s="3"/>
      <c r="J222" s="21" t="s">
        <v>301</v>
      </c>
      <c r="K222" s="21"/>
      <c r="L222" s="3" t="s">
        <v>192</v>
      </c>
      <c r="M222" s="21" t="s">
        <v>193</v>
      </c>
      <c r="N222" s="21"/>
    </row>
    <row r="223" spans="1:14" ht="15" customHeight="1" x14ac:dyDescent="0.2">
      <c r="A223" s="1" t="s">
        <v>302</v>
      </c>
      <c r="B223" s="6">
        <v>75</v>
      </c>
      <c r="C223" s="1" t="s">
        <v>5</v>
      </c>
      <c r="D223" s="1" t="s">
        <v>195</v>
      </c>
      <c r="E223" s="14" t="s">
        <v>191</v>
      </c>
      <c r="F223" s="14"/>
      <c r="G223" s="7">
        <v>0</v>
      </c>
      <c r="H223" s="1"/>
      <c r="I223" s="1"/>
      <c r="J223" s="14" t="s">
        <v>302</v>
      </c>
      <c r="K223" s="14"/>
      <c r="L223" s="1" t="s">
        <v>192</v>
      </c>
      <c r="M223" s="14" t="s">
        <v>303</v>
      </c>
      <c r="N223" s="14"/>
    </row>
    <row r="224" spans="1:14" ht="15" customHeight="1" x14ac:dyDescent="0.2">
      <c r="A224" s="3" t="s">
        <v>304</v>
      </c>
      <c r="B224" s="4">
        <v>76</v>
      </c>
      <c r="C224" s="3" t="s">
        <v>5</v>
      </c>
      <c r="D224" s="3" t="s">
        <v>190</v>
      </c>
      <c r="E224" s="21" t="s">
        <v>191</v>
      </c>
      <c r="F224" s="21"/>
      <c r="G224" s="5">
        <v>0</v>
      </c>
      <c r="H224" s="3"/>
      <c r="I224" s="3"/>
      <c r="J224" s="21" t="s">
        <v>304</v>
      </c>
      <c r="K224" s="21"/>
      <c r="L224" s="3" t="s">
        <v>192</v>
      </c>
      <c r="M224" s="21" t="s">
        <v>193</v>
      </c>
      <c r="N224" s="21"/>
    </row>
    <row r="225" spans="1:14" ht="15" customHeight="1" x14ac:dyDescent="0.2">
      <c r="A225" s="1" t="s">
        <v>305</v>
      </c>
      <c r="B225" s="6">
        <v>77</v>
      </c>
      <c r="C225" s="1" t="s">
        <v>5</v>
      </c>
      <c r="D225" s="1" t="s">
        <v>195</v>
      </c>
      <c r="E225" s="14" t="s">
        <v>191</v>
      </c>
      <c r="F225" s="14"/>
      <c r="G225" s="7">
        <v>0</v>
      </c>
      <c r="H225" s="1"/>
      <c r="I225" s="1"/>
      <c r="J225" s="14" t="s">
        <v>305</v>
      </c>
      <c r="K225" s="14"/>
      <c r="L225" s="1" t="s">
        <v>192</v>
      </c>
      <c r="M225" s="14" t="s">
        <v>306</v>
      </c>
      <c r="N225" s="14"/>
    </row>
    <row r="226" spans="1:14" ht="15" customHeight="1" x14ac:dyDescent="0.2">
      <c r="A226" s="3" t="s">
        <v>307</v>
      </c>
      <c r="B226" s="4">
        <v>78</v>
      </c>
      <c r="C226" s="3" t="s">
        <v>5</v>
      </c>
      <c r="D226" s="3" t="s">
        <v>190</v>
      </c>
      <c r="E226" s="21" t="s">
        <v>191</v>
      </c>
      <c r="F226" s="21"/>
      <c r="G226" s="5">
        <v>0</v>
      </c>
      <c r="H226" s="3"/>
      <c r="I226" s="3"/>
      <c r="J226" s="21" t="s">
        <v>307</v>
      </c>
      <c r="K226" s="21"/>
      <c r="L226" s="3" t="s">
        <v>192</v>
      </c>
      <c r="M226" s="21" t="s">
        <v>193</v>
      </c>
      <c r="N226" s="21"/>
    </row>
    <row r="227" spans="1:14" ht="15" customHeight="1" x14ac:dyDescent="0.2">
      <c r="A227" s="1" t="s">
        <v>308</v>
      </c>
      <c r="B227" s="6">
        <v>79</v>
      </c>
      <c r="C227" s="1" t="s">
        <v>5</v>
      </c>
      <c r="D227" s="1" t="s">
        <v>195</v>
      </c>
      <c r="E227" s="14" t="s">
        <v>191</v>
      </c>
      <c r="F227" s="14"/>
      <c r="G227" s="7">
        <v>0</v>
      </c>
      <c r="H227" s="1"/>
      <c r="I227" s="1"/>
      <c r="J227" s="14" t="s">
        <v>308</v>
      </c>
      <c r="K227" s="14"/>
      <c r="L227" s="1" t="s">
        <v>192</v>
      </c>
      <c r="M227" s="14" t="s">
        <v>309</v>
      </c>
      <c r="N227" s="14"/>
    </row>
    <row r="228" spans="1:14" ht="15" customHeight="1" x14ac:dyDescent="0.2">
      <c r="A228" s="3" t="s">
        <v>310</v>
      </c>
      <c r="B228" s="4">
        <v>80</v>
      </c>
      <c r="C228" s="3" t="s">
        <v>5</v>
      </c>
      <c r="D228" s="3" t="s">
        <v>190</v>
      </c>
      <c r="E228" s="21" t="s">
        <v>191</v>
      </c>
      <c r="F228" s="21"/>
      <c r="G228" s="5">
        <v>0</v>
      </c>
      <c r="H228" s="3"/>
      <c r="I228" s="3"/>
      <c r="J228" s="21" t="s">
        <v>310</v>
      </c>
      <c r="K228" s="21"/>
      <c r="L228" s="3" t="s">
        <v>192</v>
      </c>
      <c r="M228" s="21" t="s">
        <v>193</v>
      </c>
      <c r="N228" s="21"/>
    </row>
    <row r="229" spans="1:14" ht="15" customHeight="1" x14ac:dyDescent="0.2">
      <c r="A229" s="1" t="s">
        <v>311</v>
      </c>
      <c r="B229" s="6">
        <v>81</v>
      </c>
      <c r="C229" s="1" t="s">
        <v>5</v>
      </c>
      <c r="D229" s="1" t="s">
        <v>195</v>
      </c>
      <c r="E229" s="14" t="s">
        <v>191</v>
      </c>
      <c r="F229" s="14"/>
      <c r="G229" s="7">
        <v>0</v>
      </c>
      <c r="H229" s="1"/>
      <c r="I229" s="1"/>
      <c r="J229" s="14" t="s">
        <v>311</v>
      </c>
      <c r="K229" s="14"/>
      <c r="L229" s="1" t="s">
        <v>192</v>
      </c>
      <c r="M229" s="14" t="s">
        <v>312</v>
      </c>
      <c r="N229" s="14"/>
    </row>
    <row r="230" spans="1:14" ht="15" customHeight="1" x14ac:dyDescent="0.2">
      <c r="A230" s="3" t="s">
        <v>313</v>
      </c>
      <c r="B230" s="4">
        <v>82</v>
      </c>
      <c r="C230" s="3" t="s">
        <v>5</v>
      </c>
      <c r="D230" s="3" t="s">
        <v>190</v>
      </c>
      <c r="E230" s="21" t="s">
        <v>191</v>
      </c>
      <c r="F230" s="21"/>
      <c r="G230" s="5">
        <v>0</v>
      </c>
      <c r="H230" s="3"/>
      <c r="I230" s="3"/>
      <c r="J230" s="21" t="s">
        <v>313</v>
      </c>
      <c r="K230" s="21"/>
      <c r="L230" s="3" t="s">
        <v>192</v>
      </c>
      <c r="M230" s="21" t="s">
        <v>193</v>
      </c>
      <c r="N230" s="21"/>
    </row>
    <row r="231" spans="1:14" ht="15" customHeight="1" x14ac:dyDescent="0.2">
      <c r="A231" s="1" t="s">
        <v>314</v>
      </c>
      <c r="B231" s="6">
        <v>83</v>
      </c>
      <c r="C231" s="1" t="s">
        <v>5</v>
      </c>
      <c r="D231" s="1" t="s">
        <v>195</v>
      </c>
      <c r="E231" s="14" t="s">
        <v>191</v>
      </c>
      <c r="F231" s="14"/>
      <c r="G231" s="7">
        <v>0</v>
      </c>
      <c r="H231" s="1"/>
      <c r="I231" s="1"/>
      <c r="J231" s="14" t="s">
        <v>314</v>
      </c>
      <c r="K231" s="14"/>
      <c r="L231" s="1" t="s">
        <v>192</v>
      </c>
      <c r="M231" s="14" t="s">
        <v>315</v>
      </c>
      <c r="N231" s="14"/>
    </row>
    <row r="232" spans="1:14" ht="15" customHeight="1" x14ac:dyDescent="0.2">
      <c r="A232" s="3" t="s">
        <v>316</v>
      </c>
      <c r="B232" s="4">
        <v>84</v>
      </c>
      <c r="C232" s="3" t="s">
        <v>5</v>
      </c>
      <c r="D232" s="3" t="s">
        <v>190</v>
      </c>
      <c r="E232" s="21" t="s">
        <v>191</v>
      </c>
      <c r="F232" s="21"/>
      <c r="G232" s="5">
        <v>0</v>
      </c>
      <c r="H232" s="3"/>
      <c r="I232" s="3"/>
      <c r="J232" s="21" t="s">
        <v>316</v>
      </c>
      <c r="K232" s="21"/>
      <c r="L232" s="3" t="s">
        <v>192</v>
      </c>
      <c r="M232" s="21" t="s">
        <v>193</v>
      </c>
      <c r="N232" s="21"/>
    </row>
    <row r="233" spans="1:14" ht="15" customHeight="1" x14ac:dyDescent="0.2">
      <c r="A233" s="1" t="s">
        <v>317</v>
      </c>
      <c r="B233" s="6">
        <v>85</v>
      </c>
      <c r="C233" s="1" t="s">
        <v>5</v>
      </c>
      <c r="D233" s="1" t="s">
        <v>195</v>
      </c>
      <c r="E233" s="14" t="s">
        <v>191</v>
      </c>
      <c r="F233" s="14"/>
      <c r="G233" s="7">
        <v>0</v>
      </c>
      <c r="H233" s="1"/>
      <c r="I233" s="1"/>
      <c r="J233" s="14" t="s">
        <v>317</v>
      </c>
      <c r="K233" s="14"/>
      <c r="L233" s="1" t="s">
        <v>192</v>
      </c>
      <c r="M233" s="14" t="s">
        <v>318</v>
      </c>
      <c r="N233" s="14"/>
    </row>
    <row r="234" spans="1:14" ht="15" customHeight="1" x14ac:dyDescent="0.2">
      <c r="A234" s="3" t="s">
        <v>319</v>
      </c>
      <c r="B234" s="4">
        <v>86</v>
      </c>
      <c r="C234" s="3" t="s">
        <v>5</v>
      </c>
      <c r="D234" s="3" t="s">
        <v>190</v>
      </c>
      <c r="E234" s="21" t="s">
        <v>191</v>
      </c>
      <c r="F234" s="21"/>
      <c r="G234" s="5">
        <v>0</v>
      </c>
      <c r="H234" s="3"/>
      <c r="I234" s="3"/>
      <c r="J234" s="21" t="s">
        <v>319</v>
      </c>
      <c r="K234" s="21"/>
      <c r="L234" s="3" t="s">
        <v>192</v>
      </c>
      <c r="M234" s="21" t="s">
        <v>193</v>
      </c>
      <c r="N234" s="21"/>
    </row>
    <row r="235" spans="1:14" ht="15" customHeight="1" x14ac:dyDescent="0.2">
      <c r="A235" s="1" t="s">
        <v>320</v>
      </c>
      <c r="B235" s="6">
        <v>87</v>
      </c>
      <c r="C235" s="1" t="s">
        <v>5</v>
      </c>
      <c r="D235" s="1" t="s">
        <v>195</v>
      </c>
      <c r="E235" s="14" t="s">
        <v>191</v>
      </c>
      <c r="F235" s="14"/>
      <c r="G235" s="7">
        <v>0</v>
      </c>
      <c r="H235" s="1"/>
      <c r="I235" s="1"/>
      <c r="J235" s="14" t="s">
        <v>320</v>
      </c>
      <c r="K235" s="14"/>
      <c r="L235" s="1" t="s">
        <v>192</v>
      </c>
      <c r="M235" s="14" t="s">
        <v>321</v>
      </c>
      <c r="N235" s="14"/>
    </row>
    <row r="236" spans="1:14" ht="15" customHeight="1" x14ac:dyDescent="0.2">
      <c r="A236" s="3" t="s">
        <v>322</v>
      </c>
      <c r="B236" s="4">
        <v>88</v>
      </c>
      <c r="C236" s="3" t="s">
        <v>5</v>
      </c>
      <c r="D236" s="3" t="s">
        <v>190</v>
      </c>
      <c r="E236" s="21" t="s">
        <v>191</v>
      </c>
      <c r="F236" s="21"/>
      <c r="G236" s="5">
        <v>0</v>
      </c>
      <c r="H236" s="3"/>
      <c r="I236" s="3"/>
      <c r="J236" s="21" t="s">
        <v>322</v>
      </c>
      <c r="K236" s="21"/>
      <c r="L236" s="3" t="s">
        <v>192</v>
      </c>
      <c r="M236" s="21" t="s">
        <v>193</v>
      </c>
      <c r="N236" s="21"/>
    </row>
    <row r="237" spans="1:14" ht="15" customHeight="1" x14ac:dyDescent="0.2">
      <c r="A237" s="1" t="s">
        <v>323</v>
      </c>
      <c r="B237" s="6">
        <v>89</v>
      </c>
      <c r="C237" s="1" t="s">
        <v>5</v>
      </c>
      <c r="D237" s="1" t="s">
        <v>195</v>
      </c>
      <c r="E237" s="14" t="s">
        <v>191</v>
      </c>
      <c r="F237" s="14"/>
      <c r="G237" s="7">
        <v>0</v>
      </c>
      <c r="H237" s="1"/>
      <c r="I237" s="1"/>
      <c r="J237" s="14" t="s">
        <v>323</v>
      </c>
      <c r="K237" s="14"/>
      <c r="L237" s="1" t="s">
        <v>192</v>
      </c>
      <c r="M237" s="14" t="s">
        <v>324</v>
      </c>
      <c r="N237" s="14"/>
    </row>
    <row r="238" spans="1:14" ht="15" customHeight="1" x14ac:dyDescent="0.2">
      <c r="A238" s="3" t="s">
        <v>325</v>
      </c>
      <c r="B238" s="4">
        <v>90</v>
      </c>
      <c r="C238" s="3" t="s">
        <v>5</v>
      </c>
      <c r="D238" s="3" t="s">
        <v>190</v>
      </c>
      <c r="E238" s="21" t="s">
        <v>191</v>
      </c>
      <c r="F238" s="21"/>
      <c r="G238" s="5">
        <v>0</v>
      </c>
      <c r="H238" s="3"/>
      <c r="I238" s="3"/>
      <c r="J238" s="21" t="s">
        <v>325</v>
      </c>
      <c r="K238" s="21"/>
      <c r="L238" s="3" t="s">
        <v>192</v>
      </c>
      <c r="M238" s="21" t="s">
        <v>193</v>
      </c>
      <c r="N238" s="21"/>
    </row>
    <row r="239" spans="1:14" ht="15" customHeight="1" x14ac:dyDescent="0.2">
      <c r="A239" s="1" t="s">
        <v>326</v>
      </c>
      <c r="B239" s="6">
        <v>91</v>
      </c>
      <c r="C239" s="1" t="s">
        <v>5</v>
      </c>
      <c r="D239" s="1" t="s">
        <v>195</v>
      </c>
      <c r="E239" s="14" t="s">
        <v>191</v>
      </c>
      <c r="F239" s="14"/>
      <c r="G239" s="7">
        <v>0</v>
      </c>
      <c r="H239" s="1"/>
      <c r="I239" s="1"/>
      <c r="J239" s="14" t="s">
        <v>326</v>
      </c>
      <c r="K239" s="14"/>
      <c r="L239" s="1" t="s">
        <v>192</v>
      </c>
      <c r="M239" s="14" t="s">
        <v>327</v>
      </c>
      <c r="N239" s="14"/>
    </row>
    <row r="240" spans="1:14" ht="15" customHeight="1" x14ac:dyDescent="0.2">
      <c r="A240" s="3" t="s">
        <v>328</v>
      </c>
      <c r="B240" s="4">
        <v>92</v>
      </c>
      <c r="C240" s="3" t="s">
        <v>5</v>
      </c>
      <c r="D240" s="3" t="s">
        <v>190</v>
      </c>
      <c r="E240" s="21" t="s">
        <v>191</v>
      </c>
      <c r="F240" s="21"/>
      <c r="G240" s="5">
        <v>0</v>
      </c>
      <c r="H240" s="3"/>
      <c r="I240" s="3"/>
      <c r="J240" s="21" t="s">
        <v>328</v>
      </c>
      <c r="K240" s="21"/>
      <c r="L240" s="3" t="s">
        <v>192</v>
      </c>
      <c r="M240" s="21" t="s">
        <v>193</v>
      </c>
      <c r="N240" s="21"/>
    </row>
    <row r="241" spans="1:14" ht="15" customHeight="1" x14ac:dyDescent="0.2">
      <c r="A241" s="1" t="s">
        <v>329</v>
      </c>
      <c r="B241" s="6">
        <v>93</v>
      </c>
      <c r="C241" s="1" t="s">
        <v>5</v>
      </c>
      <c r="D241" s="1" t="s">
        <v>195</v>
      </c>
      <c r="E241" s="14" t="s">
        <v>191</v>
      </c>
      <c r="F241" s="14"/>
      <c r="G241" s="7">
        <v>0</v>
      </c>
      <c r="H241" s="1"/>
      <c r="I241" s="1"/>
      <c r="J241" s="14" t="s">
        <v>329</v>
      </c>
      <c r="K241" s="14"/>
      <c r="L241" s="1" t="s">
        <v>192</v>
      </c>
      <c r="M241" s="14" t="s">
        <v>330</v>
      </c>
      <c r="N241" s="14"/>
    </row>
    <row r="242" spans="1:14" ht="15" customHeight="1" x14ac:dyDescent="0.2">
      <c r="A242" s="3" t="s">
        <v>331</v>
      </c>
      <c r="B242" s="4">
        <v>94</v>
      </c>
      <c r="C242" s="3" t="s">
        <v>5</v>
      </c>
      <c r="D242" s="3" t="s">
        <v>190</v>
      </c>
      <c r="E242" s="21" t="s">
        <v>191</v>
      </c>
      <c r="F242" s="21"/>
      <c r="G242" s="5">
        <v>0</v>
      </c>
      <c r="H242" s="3"/>
      <c r="I242" s="3"/>
      <c r="J242" s="21" t="s">
        <v>331</v>
      </c>
      <c r="K242" s="21"/>
      <c r="L242" s="3" t="s">
        <v>192</v>
      </c>
      <c r="M242" s="21" t="s">
        <v>193</v>
      </c>
      <c r="N242" s="21"/>
    </row>
    <row r="243" spans="1:14" ht="15" customHeight="1" x14ac:dyDescent="0.2">
      <c r="A243" s="1" t="s">
        <v>332</v>
      </c>
      <c r="B243" s="6">
        <v>95</v>
      </c>
      <c r="C243" s="1" t="s">
        <v>5</v>
      </c>
      <c r="D243" s="1" t="s">
        <v>195</v>
      </c>
      <c r="E243" s="14" t="s">
        <v>191</v>
      </c>
      <c r="F243" s="14"/>
      <c r="G243" s="7">
        <v>0</v>
      </c>
      <c r="H243" s="1"/>
      <c r="I243" s="1"/>
      <c r="J243" s="14" t="s">
        <v>332</v>
      </c>
      <c r="K243" s="14"/>
      <c r="L243" s="1" t="s">
        <v>192</v>
      </c>
      <c r="M243" s="14" t="s">
        <v>333</v>
      </c>
      <c r="N243" s="14"/>
    </row>
    <row r="244" spans="1:14" ht="15" customHeight="1" x14ac:dyDescent="0.2">
      <c r="A244" s="3" t="s">
        <v>334</v>
      </c>
      <c r="B244" s="4">
        <v>96</v>
      </c>
      <c r="C244" s="3" t="s">
        <v>5</v>
      </c>
      <c r="D244" s="3" t="s">
        <v>190</v>
      </c>
      <c r="E244" s="21" t="s">
        <v>191</v>
      </c>
      <c r="F244" s="21"/>
      <c r="G244" s="5">
        <v>0</v>
      </c>
      <c r="H244" s="3"/>
      <c r="I244" s="3"/>
      <c r="J244" s="21" t="s">
        <v>334</v>
      </c>
      <c r="K244" s="21"/>
      <c r="L244" s="3" t="s">
        <v>192</v>
      </c>
      <c r="M244" s="21" t="s">
        <v>193</v>
      </c>
      <c r="N244" s="21"/>
    </row>
    <row r="245" spans="1:14" ht="15" customHeight="1" x14ac:dyDescent="0.2">
      <c r="A245" s="1" t="s">
        <v>335</v>
      </c>
      <c r="B245" s="6">
        <v>97</v>
      </c>
      <c r="C245" s="1" t="s">
        <v>5</v>
      </c>
      <c r="D245" s="1" t="s">
        <v>195</v>
      </c>
      <c r="E245" s="14" t="s">
        <v>191</v>
      </c>
      <c r="F245" s="14"/>
      <c r="G245" s="7">
        <v>0</v>
      </c>
      <c r="H245" s="1"/>
      <c r="I245" s="1"/>
      <c r="J245" s="14" t="s">
        <v>335</v>
      </c>
      <c r="K245" s="14"/>
      <c r="L245" s="1" t="s">
        <v>192</v>
      </c>
      <c r="M245" s="14" t="s">
        <v>336</v>
      </c>
      <c r="N245" s="14"/>
    </row>
    <row r="246" spans="1:14" ht="15" customHeight="1" x14ac:dyDescent="0.2">
      <c r="A246" s="3" t="s">
        <v>337</v>
      </c>
      <c r="B246" s="4">
        <v>98</v>
      </c>
      <c r="C246" s="3" t="s">
        <v>5</v>
      </c>
      <c r="D246" s="3" t="s">
        <v>190</v>
      </c>
      <c r="E246" s="21" t="s">
        <v>191</v>
      </c>
      <c r="F246" s="21"/>
      <c r="G246" s="5">
        <v>0</v>
      </c>
      <c r="H246" s="3"/>
      <c r="I246" s="3"/>
      <c r="J246" s="21" t="s">
        <v>337</v>
      </c>
      <c r="K246" s="21"/>
      <c r="L246" s="3" t="s">
        <v>192</v>
      </c>
      <c r="M246" s="21" t="s">
        <v>193</v>
      </c>
      <c r="N246" s="21"/>
    </row>
    <row r="247" spans="1:14" ht="15" customHeight="1" x14ac:dyDescent="0.2">
      <c r="A247" s="1" t="s">
        <v>338</v>
      </c>
      <c r="B247" s="6">
        <v>99</v>
      </c>
      <c r="C247" s="1" t="s">
        <v>5</v>
      </c>
      <c r="D247" s="1" t="s">
        <v>195</v>
      </c>
      <c r="E247" s="14" t="s">
        <v>191</v>
      </c>
      <c r="F247" s="14"/>
      <c r="G247" s="7">
        <v>0</v>
      </c>
      <c r="H247" s="1"/>
      <c r="I247" s="1"/>
      <c r="J247" s="14" t="s">
        <v>338</v>
      </c>
      <c r="K247" s="14"/>
      <c r="L247" s="1" t="s">
        <v>192</v>
      </c>
      <c r="M247" s="14" t="s">
        <v>339</v>
      </c>
      <c r="N247" s="14"/>
    </row>
    <row r="248" spans="1:14" ht="15" customHeight="1" x14ac:dyDescent="0.2">
      <c r="A248" s="3" t="s">
        <v>340</v>
      </c>
      <c r="B248" s="4">
        <v>100</v>
      </c>
      <c r="C248" s="3" t="s">
        <v>5</v>
      </c>
      <c r="D248" s="3" t="s">
        <v>190</v>
      </c>
      <c r="E248" s="21" t="s">
        <v>191</v>
      </c>
      <c r="F248" s="21"/>
      <c r="G248" s="5">
        <v>0</v>
      </c>
      <c r="H248" s="3"/>
      <c r="I248" s="3"/>
      <c r="J248" s="21" t="s">
        <v>340</v>
      </c>
      <c r="K248" s="21"/>
      <c r="L248" s="3" t="s">
        <v>192</v>
      </c>
      <c r="M248" s="21" t="s">
        <v>193</v>
      </c>
      <c r="N248" s="21"/>
    </row>
    <row r="249" spans="1:14" ht="15" customHeight="1" x14ac:dyDescent="0.2">
      <c r="A249" s="1" t="s">
        <v>341</v>
      </c>
      <c r="B249" s="6">
        <v>101</v>
      </c>
      <c r="C249" s="1" t="s">
        <v>5</v>
      </c>
      <c r="D249" s="1" t="s">
        <v>195</v>
      </c>
      <c r="E249" s="14" t="s">
        <v>191</v>
      </c>
      <c r="F249" s="14"/>
      <c r="G249" s="7">
        <v>0</v>
      </c>
      <c r="H249" s="1"/>
      <c r="I249" s="1"/>
      <c r="J249" s="14" t="s">
        <v>341</v>
      </c>
      <c r="K249" s="14"/>
      <c r="L249" s="1" t="s">
        <v>192</v>
      </c>
      <c r="M249" s="14" t="s">
        <v>342</v>
      </c>
      <c r="N249" s="14"/>
    </row>
    <row r="250" spans="1:14" ht="15" customHeight="1" x14ac:dyDescent="0.2">
      <c r="A250" s="3" t="s">
        <v>343</v>
      </c>
      <c r="B250" s="4">
        <v>102</v>
      </c>
      <c r="C250" s="3" t="s">
        <v>5</v>
      </c>
      <c r="D250" s="3" t="s">
        <v>190</v>
      </c>
      <c r="E250" s="21" t="s">
        <v>191</v>
      </c>
      <c r="F250" s="21"/>
      <c r="G250" s="5">
        <v>0</v>
      </c>
      <c r="H250" s="3"/>
      <c r="I250" s="3"/>
      <c r="J250" s="21" t="s">
        <v>343</v>
      </c>
      <c r="K250" s="21"/>
      <c r="L250" s="3" t="s">
        <v>192</v>
      </c>
      <c r="M250" s="21" t="s">
        <v>193</v>
      </c>
      <c r="N250" s="21"/>
    </row>
    <row r="251" spans="1:14" ht="15" customHeight="1" x14ac:dyDescent="0.2">
      <c r="A251" s="1" t="s">
        <v>344</v>
      </c>
      <c r="B251" s="6">
        <v>103</v>
      </c>
      <c r="C251" s="1" t="s">
        <v>5</v>
      </c>
      <c r="D251" s="1" t="s">
        <v>195</v>
      </c>
      <c r="E251" s="14" t="s">
        <v>191</v>
      </c>
      <c r="F251" s="14"/>
      <c r="G251" s="7">
        <v>0</v>
      </c>
      <c r="H251" s="1"/>
      <c r="I251" s="1"/>
      <c r="J251" s="14" t="s">
        <v>344</v>
      </c>
      <c r="K251" s="14"/>
      <c r="L251" s="1" t="s">
        <v>192</v>
      </c>
      <c r="M251" s="14" t="s">
        <v>345</v>
      </c>
      <c r="N251" s="14"/>
    </row>
    <row r="252" spans="1:14" ht="20.100000000000001" customHeight="1" x14ac:dyDescent="0.2">
      <c r="A252" s="22" t="s">
        <v>346</v>
      </c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</row>
    <row r="253" spans="1:14" ht="20.100000000000001" customHeight="1" x14ac:dyDescent="0.2">
      <c r="A253" s="2" t="s">
        <v>186</v>
      </c>
      <c r="B253" s="2" t="s">
        <v>347</v>
      </c>
      <c r="C253" s="2" t="s">
        <v>180</v>
      </c>
      <c r="D253" s="2" t="s">
        <v>181</v>
      </c>
      <c r="E253" s="2" t="s">
        <v>348</v>
      </c>
      <c r="F253" s="2" t="s">
        <v>182</v>
      </c>
      <c r="G253" s="2" t="s">
        <v>183</v>
      </c>
      <c r="H253" s="2" t="s">
        <v>179</v>
      </c>
      <c r="I253" s="2" t="s">
        <v>349</v>
      </c>
      <c r="J253" s="2" t="s">
        <v>350</v>
      </c>
      <c r="K253" s="2" t="s">
        <v>351</v>
      </c>
      <c r="L253" s="2" t="s">
        <v>352</v>
      </c>
      <c r="M253" s="20" t="s">
        <v>188</v>
      </c>
      <c r="N253" s="20"/>
    </row>
    <row r="254" spans="1:14" ht="15" customHeight="1" x14ac:dyDescent="0.2">
      <c r="A254" s="3" t="s">
        <v>353</v>
      </c>
      <c r="B254" s="4">
        <v>1</v>
      </c>
      <c r="C254" s="3"/>
      <c r="D254" s="3" t="s">
        <v>354</v>
      </c>
      <c r="E254" s="3"/>
      <c r="F254" s="3"/>
      <c r="G254" s="3"/>
      <c r="H254" s="3"/>
      <c r="I254" s="5">
        <v>0</v>
      </c>
      <c r="J254" s="5">
        <v>0</v>
      </c>
      <c r="K254" s="5">
        <v>300</v>
      </c>
      <c r="L254" s="5">
        <v>300</v>
      </c>
      <c r="M254" s="21"/>
      <c r="N254" s="21"/>
    </row>
    <row r="255" spans="1:14" ht="15" customHeight="1" x14ac:dyDescent="0.2">
      <c r="A255" s="1" t="s">
        <v>189</v>
      </c>
      <c r="B255" s="6">
        <v>2</v>
      </c>
      <c r="C255" s="1" t="s">
        <v>5</v>
      </c>
      <c r="D255" s="1" t="s">
        <v>190</v>
      </c>
      <c r="E255" s="1" t="s">
        <v>355</v>
      </c>
      <c r="F255" s="1" t="s">
        <v>356</v>
      </c>
      <c r="G255" s="7">
        <v>1719.91</v>
      </c>
      <c r="H255" s="6">
        <v>2</v>
      </c>
      <c r="I255" s="7">
        <v>0</v>
      </c>
      <c r="J255" s="7">
        <v>0</v>
      </c>
      <c r="K255" s="7">
        <v>0</v>
      </c>
      <c r="L255" s="7">
        <v>300</v>
      </c>
      <c r="M255" s="14" t="s">
        <v>193</v>
      </c>
      <c r="N255" s="14"/>
    </row>
    <row r="256" spans="1:14" ht="15" customHeight="1" x14ac:dyDescent="0.2">
      <c r="A256" s="3" t="s">
        <v>194</v>
      </c>
      <c r="B256" s="4">
        <v>3</v>
      </c>
      <c r="C256" s="3" t="s">
        <v>5</v>
      </c>
      <c r="D256" s="3" t="s">
        <v>195</v>
      </c>
      <c r="E256" s="3" t="s">
        <v>357</v>
      </c>
      <c r="F256" s="3" t="s">
        <v>356</v>
      </c>
      <c r="G256" s="5">
        <v>1691.48</v>
      </c>
      <c r="H256" s="4">
        <v>3</v>
      </c>
      <c r="I256" s="5">
        <v>0</v>
      </c>
      <c r="J256" s="5">
        <v>0</v>
      </c>
      <c r="K256" s="5">
        <v>-0.56999999999999995</v>
      </c>
      <c r="L256" s="5">
        <v>299.43</v>
      </c>
      <c r="M256" s="21" t="s">
        <v>196</v>
      </c>
      <c r="N256" s="21"/>
    </row>
    <row r="257" spans="1:14" ht="15" customHeight="1" x14ac:dyDescent="0.2">
      <c r="A257" s="1" t="s">
        <v>197</v>
      </c>
      <c r="B257" s="6">
        <v>4</v>
      </c>
      <c r="C257" s="1" t="s">
        <v>5</v>
      </c>
      <c r="D257" s="1" t="s">
        <v>190</v>
      </c>
      <c r="E257" s="1" t="s">
        <v>355</v>
      </c>
      <c r="F257" s="1" t="s">
        <v>356</v>
      </c>
      <c r="G257" s="7">
        <v>1672.37</v>
      </c>
      <c r="H257" s="6">
        <v>4</v>
      </c>
      <c r="I257" s="7">
        <v>0</v>
      </c>
      <c r="J257" s="7">
        <v>0</v>
      </c>
      <c r="K257" s="7">
        <v>0</v>
      </c>
      <c r="L257" s="7">
        <v>299.43</v>
      </c>
      <c r="M257" s="14" t="s">
        <v>193</v>
      </c>
      <c r="N257" s="14"/>
    </row>
    <row r="258" spans="1:14" ht="15" customHeight="1" x14ac:dyDescent="0.2">
      <c r="A258" s="3" t="s">
        <v>198</v>
      </c>
      <c r="B258" s="4">
        <v>5</v>
      </c>
      <c r="C258" s="3" t="s">
        <v>5</v>
      </c>
      <c r="D258" s="3" t="s">
        <v>195</v>
      </c>
      <c r="E258" s="3" t="s">
        <v>357</v>
      </c>
      <c r="F258" s="3" t="s">
        <v>356</v>
      </c>
      <c r="G258" s="5">
        <v>2303.92</v>
      </c>
      <c r="H258" s="4">
        <v>5</v>
      </c>
      <c r="I258" s="5">
        <v>0</v>
      </c>
      <c r="J258" s="5">
        <v>-0.44</v>
      </c>
      <c r="K258" s="5">
        <v>12.63</v>
      </c>
      <c r="L258" s="5">
        <v>311.62</v>
      </c>
      <c r="M258" s="21"/>
      <c r="N258" s="21"/>
    </row>
    <row r="259" spans="1:14" ht="15" customHeight="1" x14ac:dyDescent="0.2">
      <c r="A259" s="1" t="s">
        <v>199</v>
      </c>
      <c r="B259" s="6">
        <v>6</v>
      </c>
      <c r="C259" s="1" t="s">
        <v>5</v>
      </c>
      <c r="D259" s="1" t="s">
        <v>190</v>
      </c>
      <c r="E259" s="1" t="s">
        <v>355</v>
      </c>
      <c r="F259" s="1" t="s">
        <v>356</v>
      </c>
      <c r="G259" s="7">
        <v>2308.7399999999998</v>
      </c>
      <c r="H259" s="6">
        <v>6</v>
      </c>
      <c r="I259" s="7">
        <v>0</v>
      </c>
      <c r="J259" s="7">
        <v>0</v>
      </c>
      <c r="K259" s="7">
        <v>0</v>
      </c>
      <c r="L259" s="7">
        <v>311.62</v>
      </c>
      <c r="M259" s="14" t="s">
        <v>193</v>
      </c>
      <c r="N259" s="14"/>
    </row>
    <row r="260" spans="1:14" ht="15" customHeight="1" x14ac:dyDescent="0.2">
      <c r="A260" s="3" t="s">
        <v>200</v>
      </c>
      <c r="B260" s="4">
        <v>7</v>
      </c>
      <c r="C260" s="3" t="s">
        <v>5</v>
      </c>
      <c r="D260" s="3" t="s">
        <v>190</v>
      </c>
      <c r="E260" s="3" t="s">
        <v>355</v>
      </c>
      <c r="F260" s="3" t="s">
        <v>356</v>
      </c>
      <c r="G260" s="5">
        <v>2279.33</v>
      </c>
      <c r="H260" s="4">
        <v>7</v>
      </c>
      <c r="I260" s="5">
        <v>0</v>
      </c>
      <c r="J260" s="5">
        <v>0</v>
      </c>
      <c r="K260" s="5">
        <v>0</v>
      </c>
      <c r="L260" s="5">
        <v>311.62</v>
      </c>
      <c r="M260" s="21" t="s">
        <v>193</v>
      </c>
      <c r="N260" s="21"/>
    </row>
    <row r="261" spans="1:14" ht="15" customHeight="1" x14ac:dyDescent="0.2">
      <c r="A261" s="1" t="s">
        <v>201</v>
      </c>
      <c r="B261" s="6">
        <v>8</v>
      </c>
      <c r="C261" s="1" t="s">
        <v>5</v>
      </c>
      <c r="D261" s="1" t="s">
        <v>195</v>
      </c>
      <c r="E261" s="1" t="s">
        <v>357</v>
      </c>
      <c r="F261" s="1" t="s">
        <v>356</v>
      </c>
      <c r="G261" s="7">
        <v>2259.8000000000002</v>
      </c>
      <c r="H261" s="6">
        <v>8</v>
      </c>
      <c r="I261" s="7">
        <v>0</v>
      </c>
      <c r="J261" s="7">
        <v>-0.01</v>
      </c>
      <c r="K261" s="7">
        <v>-0.98</v>
      </c>
      <c r="L261" s="7">
        <v>310.63</v>
      </c>
      <c r="M261" s="14" t="s">
        <v>202</v>
      </c>
      <c r="N261" s="14"/>
    </row>
    <row r="262" spans="1:14" ht="15" customHeight="1" x14ac:dyDescent="0.2">
      <c r="A262" s="3" t="s">
        <v>203</v>
      </c>
      <c r="B262" s="4">
        <v>9</v>
      </c>
      <c r="C262" s="3" t="s">
        <v>5</v>
      </c>
      <c r="D262" s="3" t="s">
        <v>195</v>
      </c>
      <c r="E262" s="3" t="s">
        <v>357</v>
      </c>
      <c r="F262" s="3" t="s">
        <v>356</v>
      </c>
      <c r="G262" s="5">
        <v>2254.19</v>
      </c>
      <c r="H262" s="4">
        <v>9</v>
      </c>
      <c r="I262" s="5">
        <v>0</v>
      </c>
      <c r="J262" s="5">
        <v>0</v>
      </c>
      <c r="K262" s="5">
        <v>-0.5</v>
      </c>
      <c r="L262" s="5">
        <v>310.13</v>
      </c>
      <c r="M262" s="21" t="s">
        <v>204</v>
      </c>
      <c r="N262" s="21"/>
    </row>
    <row r="263" spans="1:14" ht="15" customHeight="1" x14ac:dyDescent="0.2">
      <c r="A263" s="1" t="s">
        <v>205</v>
      </c>
      <c r="B263" s="6">
        <v>10</v>
      </c>
      <c r="C263" s="1" t="s">
        <v>5</v>
      </c>
      <c r="D263" s="1" t="s">
        <v>190</v>
      </c>
      <c r="E263" s="1" t="s">
        <v>355</v>
      </c>
      <c r="F263" s="1" t="s">
        <v>356</v>
      </c>
      <c r="G263" s="7">
        <v>2233</v>
      </c>
      <c r="H263" s="6">
        <v>10</v>
      </c>
      <c r="I263" s="7">
        <v>0</v>
      </c>
      <c r="J263" s="7">
        <v>0</v>
      </c>
      <c r="K263" s="7">
        <v>0</v>
      </c>
      <c r="L263" s="7">
        <v>310.13</v>
      </c>
      <c r="M263" s="14" t="s">
        <v>193</v>
      </c>
      <c r="N263" s="14"/>
    </row>
    <row r="264" spans="1:14" ht="15" customHeight="1" x14ac:dyDescent="0.2">
      <c r="A264" s="3" t="s">
        <v>206</v>
      </c>
      <c r="B264" s="4">
        <v>11</v>
      </c>
      <c r="C264" s="3" t="s">
        <v>5</v>
      </c>
      <c r="D264" s="3" t="s">
        <v>195</v>
      </c>
      <c r="E264" s="3" t="s">
        <v>357</v>
      </c>
      <c r="F264" s="3" t="s">
        <v>356</v>
      </c>
      <c r="G264" s="5">
        <v>2177.86</v>
      </c>
      <c r="H264" s="4">
        <v>11</v>
      </c>
      <c r="I264" s="5">
        <v>0</v>
      </c>
      <c r="J264" s="5">
        <v>0</v>
      </c>
      <c r="K264" s="5">
        <v>-1.1000000000000001</v>
      </c>
      <c r="L264" s="5">
        <v>309.02999999999997</v>
      </c>
      <c r="M264" s="21" t="s">
        <v>207</v>
      </c>
      <c r="N264" s="21"/>
    </row>
    <row r="265" spans="1:14" ht="15" customHeight="1" x14ac:dyDescent="0.2">
      <c r="A265" s="1" t="s">
        <v>208</v>
      </c>
      <c r="B265" s="6">
        <v>12</v>
      </c>
      <c r="C265" s="1" t="s">
        <v>5</v>
      </c>
      <c r="D265" s="1" t="s">
        <v>190</v>
      </c>
      <c r="E265" s="1" t="s">
        <v>355</v>
      </c>
      <c r="F265" s="1" t="s">
        <v>356</v>
      </c>
      <c r="G265" s="7">
        <v>2375.38</v>
      </c>
      <c r="H265" s="6">
        <v>12</v>
      </c>
      <c r="I265" s="7">
        <v>0</v>
      </c>
      <c r="J265" s="7">
        <v>0</v>
      </c>
      <c r="K265" s="7">
        <v>0</v>
      </c>
      <c r="L265" s="7">
        <v>309.02999999999997</v>
      </c>
      <c r="M265" s="14" t="s">
        <v>193</v>
      </c>
      <c r="N265" s="14"/>
    </row>
    <row r="266" spans="1:14" ht="15" customHeight="1" x14ac:dyDescent="0.2">
      <c r="A266" s="3" t="s">
        <v>209</v>
      </c>
      <c r="B266" s="4">
        <v>13</v>
      </c>
      <c r="C266" s="3" t="s">
        <v>5</v>
      </c>
      <c r="D266" s="3" t="s">
        <v>195</v>
      </c>
      <c r="E266" s="3" t="s">
        <v>357</v>
      </c>
      <c r="F266" s="3" t="s">
        <v>356</v>
      </c>
      <c r="G266" s="5">
        <v>2324.14</v>
      </c>
      <c r="H266" s="4">
        <v>13</v>
      </c>
      <c r="I266" s="5">
        <v>0</v>
      </c>
      <c r="J266" s="5">
        <v>-0.01</v>
      </c>
      <c r="K266" s="5">
        <v>-1.02</v>
      </c>
      <c r="L266" s="5">
        <v>308</v>
      </c>
      <c r="M266" s="21" t="s">
        <v>210</v>
      </c>
      <c r="N266" s="21"/>
    </row>
    <row r="267" spans="1:14" ht="15" customHeight="1" x14ac:dyDescent="0.2">
      <c r="A267" s="1" t="s">
        <v>211</v>
      </c>
      <c r="B267" s="6">
        <v>14</v>
      </c>
      <c r="C267" s="1" t="s">
        <v>5</v>
      </c>
      <c r="D267" s="1" t="s">
        <v>190</v>
      </c>
      <c r="E267" s="1" t="s">
        <v>355</v>
      </c>
      <c r="F267" s="1" t="s">
        <v>356</v>
      </c>
      <c r="G267" s="7">
        <v>2302.65</v>
      </c>
      <c r="H267" s="6">
        <v>14</v>
      </c>
      <c r="I267" s="7">
        <v>0</v>
      </c>
      <c r="J267" s="7">
        <v>0</v>
      </c>
      <c r="K267" s="7">
        <v>0</v>
      </c>
      <c r="L267" s="7">
        <v>308</v>
      </c>
      <c r="M267" s="14" t="s">
        <v>193</v>
      </c>
      <c r="N267" s="14"/>
    </row>
    <row r="268" spans="1:14" ht="15" customHeight="1" x14ac:dyDescent="0.2">
      <c r="A268" s="3" t="s">
        <v>212</v>
      </c>
      <c r="B268" s="4">
        <v>15</v>
      </c>
      <c r="C268" s="3" t="s">
        <v>5</v>
      </c>
      <c r="D268" s="3" t="s">
        <v>195</v>
      </c>
      <c r="E268" s="3" t="s">
        <v>357</v>
      </c>
      <c r="F268" s="3" t="s">
        <v>356</v>
      </c>
      <c r="G268" s="5">
        <v>2230.52</v>
      </c>
      <c r="H268" s="4">
        <v>15</v>
      </c>
      <c r="I268" s="5">
        <v>0</v>
      </c>
      <c r="J268" s="5">
        <v>-0.03</v>
      </c>
      <c r="K268" s="5">
        <v>-1.44</v>
      </c>
      <c r="L268" s="5">
        <v>306.52999999999997</v>
      </c>
      <c r="M268" s="21" t="s">
        <v>213</v>
      </c>
      <c r="N268" s="21"/>
    </row>
    <row r="269" spans="1:14" ht="15" customHeight="1" x14ac:dyDescent="0.2">
      <c r="A269" s="1" t="s">
        <v>214</v>
      </c>
      <c r="B269" s="6">
        <v>16</v>
      </c>
      <c r="C269" s="1" t="s">
        <v>5</v>
      </c>
      <c r="D269" s="1" t="s">
        <v>190</v>
      </c>
      <c r="E269" s="1" t="s">
        <v>355</v>
      </c>
      <c r="F269" s="1" t="s">
        <v>356</v>
      </c>
      <c r="G269" s="7">
        <v>2244.02</v>
      </c>
      <c r="H269" s="6">
        <v>16</v>
      </c>
      <c r="I269" s="7">
        <v>0</v>
      </c>
      <c r="J269" s="7">
        <v>0</v>
      </c>
      <c r="K269" s="7">
        <v>0</v>
      </c>
      <c r="L269" s="7">
        <v>306.52999999999997</v>
      </c>
      <c r="M269" s="14" t="s">
        <v>193</v>
      </c>
      <c r="N269" s="14"/>
    </row>
    <row r="270" spans="1:14" ht="15" customHeight="1" x14ac:dyDescent="0.2">
      <c r="A270" s="3" t="s">
        <v>215</v>
      </c>
      <c r="B270" s="4">
        <v>17</v>
      </c>
      <c r="C270" s="3" t="s">
        <v>5</v>
      </c>
      <c r="D270" s="3" t="s">
        <v>195</v>
      </c>
      <c r="E270" s="3" t="s">
        <v>357</v>
      </c>
      <c r="F270" s="3" t="s">
        <v>356</v>
      </c>
      <c r="G270" s="5">
        <v>2218.8200000000002</v>
      </c>
      <c r="H270" s="4">
        <v>17</v>
      </c>
      <c r="I270" s="5">
        <v>0</v>
      </c>
      <c r="J270" s="5">
        <v>0</v>
      </c>
      <c r="K270" s="5">
        <v>-0.5</v>
      </c>
      <c r="L270" s="5">
        <v>306.02999999999997</v>
      </c>
      <c r="M270" s="21" t="s">
        <v>216</v>
      </c>
      <c r="N270" s="21"/>
    </row>
    <row r="271" spans="1:14" ht="15" customHeight="1" x14ac:dyDescent="0.2">
      <c r="A271" s="1" t="s">
        <v>217</v>
      </c>
      <c r="B271" s="6">
        <v>18</v>
      </c>
      <c r="C271" s="1" t="s">
        <v>5</v>
      </c>
      <c r="D271" s="1" t="s">
        <v>190</v>
      </c>
      <c r="E271" s="1" t="s">
        <v>355</v>
      </c>
      <c r="F271" s="1" t="s">
        <v>356</v>
      </c>
      <c r="G271" s="7">
        <v>2273.84</v>
      </c>
      <c r="H271" s="6">
        <v>18</v>
      </c>
      <c r="I271" s="7">
        <v>0</v>
      </c>
      <c r="J271" s="7">
        <v>0</v>
      </c>
      <c r="K271" s="7">
        <v>0</v>
      </c>
      <c r="L271" s="7">
        <v>306.02999999999997</v>
      </c>
      <c r="M271" s="14" t="s">
        <v>193</v>
      </c>
      <c r="N271" s="14"/>
    </row>
    <row r="272" spans="1:14" ht="15" customHeight="1" x14ac:dyDescent="0.2">
      <c r="A272" s="3" t="s">
        <v>218</v>
      </c>
      <c r="B272" s="4">
        <v>19</v>
      </c>
      <c r="C272" s="3" t="s">
        <v>5</v>
      </c>
      <c r="D272" s="3" t="s">
        <v>195</v>
      </c>
      <c r="E272" s="3" t="s">
        <v>357</v>
      </c>
      <c r="F272" s="3" t="s">
        <v>356</v>
      </c>
      <c r="G272" s="5">
        <v>2188.46</v>
      </c>
      <c r="H272" s="4">
        <v>19</v>
      </c>
      <c r="I272" s="5">
        <v>0</v>
      </c>
      <c r="J272" s="5">
        <v>-0.1</v>
      </c>
      <c r="K272" s="5">
        <v>-1.71</v>
      </c>
      <c r="L272" s="5">
        <v>304.22000000000003</v>
      </c>
      <c r="M272" s="21" t="s">
        <v>219</v>
      </c>
      <c r="N272" s="21"/>
    </row>
    <row r="273" spans="1:14" ht="15" customHeight="1" x14ac:dyDescent="0.2">
      <c r="A273" s="1" t="s">
        <v>220</v>
      </c>
      <c r="B273" s="6">
        <v>20</v>
      </c>
      <c r="C273" s="1" t="s">
        <v>5</v>
      </c>
      <c r="D273" s="1" t="s">
        <v>190</v>
      </c>
      <c r="E273" s="1" t="s">
        <v>355</v>
      </c>
      <c r="F273" s="1" t="s">
        <v>356</v>
      </c>
      <c r="G273" s="7">
        <v>2494.04</v>
      </c>
      <c r="H273" s="6">
        <v>20</v>
      </c>
      <c r="I273" s="7">
        <v>0</v>
      </c>
      <c r="J273" s="7">
        <v>0</v>
      </c>
      <c r="K273" s="7">
        <v>0</v>
      </c>
      <c r="L273" s="7">
        <v>304.22000000000003</v>
      </c>
      <c r="M273" s="14" t="s">
        <v>193</v>
      </c>
      <c r="N273" s="14"/>
    </row>
    <row r="274" spans="1:14" ht="15" customHeight="1" x14ac:dyDescent="0.2">
      <c r="A274" s="3" t="s">
        <v>221</v>
      </c>
      <c r="B274" s="4">
        <v>21</v>
      </c>
      <c r="C274" s="3" t="s">
        <v>5</v>
      </c>
      <c r="D274" s="3" t="s">
        <v>195</v>
      </c>
      <c r="E274" s="3" t="s">
        <v>357</v>
      </c>
      <c r="F274" s="3" t="s">
        <v>356</v>
      </c>
      <c r="G274" s="5">
        <v>3732.21</v>
      </c>
      <c r="H274" s="4">
        <v>21</v>
      </c>
      <c r="I274" s="5">
        <v>0</v>
      </c>
      <c r="J274" s="5">
        <v>-0.17</v>
      </c>
      <c r="K274" s="5">
        <v>24.76</v>
      </c>
      <c r="L274" s="5">
        <v>328.81</v>
      </c>
      <c r="M274" s="21" t="s">
        <v>222</v>
      </c>
      <c r="N274" s="21"/>
    </row>
    <row r="275" spans="1:14" ht="15" customHeight="1" x14ac:dyDescent="0.2">
      <c r="A275" s="1" t="s">
        <v>223</v>
      </c>
      <c r="B275" s="6">
        <v>22</v>
      </c>
      <c r="C275" s="1" t="s">
        <v>5</v>
      </c>
      <c r="D275" s="1" t="s">
        <v>190</v>
      </c>
      <c r="E275" s="1" t="s">
        <v>355</v>
      </c>
      <c r="F275" s="1" t="s">
        <v>356</v>
      </c>
      <c r="G275" s="7">
        <v>1789.41</v>
      </c>
      <c r="H275" s="6">
        <v>22</v>
      </c>
      <c r="I275" s="7">
        <v>0</v>
      </c>
      <c r="J275" s="7">
        <v>0</v>
      </c>
      <c r="K275" s="7">
        <v>0</v>
      </c>
      <c r="L275" s="7">
        <v>328.81</v>
      </c>
      <c r="M275" s="14" t="s">
        <v>193</v>
      </c>
      <c r="N275" s="14"/>
    </row>
    <row r="276" spans="1:14" ht="15" customHeight="1" x14ac:dyDescent="0.2">
      <c r="A276" s="3" t="s">
        <v>224</v>
      </c>
      <c r="B276" s="4">
        <v>23</v>
      </c>
      <c r="C276" s="3" t="s">
        <v>5</v>
      </c>
      <c r="D276" s="3" t="s">
        <v>195</v>
      </c>
      <c r="E276" s="3" t="s">
        <v>357</v>
      </c>
      <c r="F276" s="3" t="s">
        <v>356</v>
      </c>
      <c r="G276" s="5">
        <v>1759.04</v>
      </c>
      <c r="H276" s="4">
        <v>23</v>
      </c>
      <c r="I276" s="5">
        <v>0</v>
      </c>
      <c r="J276" s="5">
        <v>0</v>
      </c>
      <c r="K276" s="5">
        <v>-0.61</v>
      </c>
      <c r="L276" s="5">
        <v>328.2</v>
      </c>
      <c r="M276" s="21" t="s">
        <v>225</v>
      </c>
      <c r="N276" s="21"/>
    </row>
    <row r="277" spans="1:14" ht="15" customHeight="1" x14ac:dyDescent="0.2">
      <c r="A277" s="1" t="s">
        <v>226</v>
      </c>
      <c r="B277" s="6">
        <v>24</v>
      </c>
      <c r="C277" s="1" t="s">
        <v>5</v>
      </c>
      <c r="D277" s="1" t="s">
        <v>190</v>
      </c>
      <c r="E277" s="1" t="s">
        <v>355</v>
      </c>
      <c r="F277" s="1" t="s">
        <v>356</v>
      </c>
      <c r="G277" s="7">
        <v>1785.73</v>
      </c>
      <c r="H277" s="6">
        <v>24</v>
      </c>
      <c r="I277" s="7">
        <v>0</v>
      </c>
      <c r="J277" s="7">
        <v>0</v>
      </c>
      <c r="K277" s="7">
        <v>0</v>
      </c>
      <c r="L277" s="7">
        <v>328.2</v>
      </c>
      <c r="M277" s="14" t="s">
        <v>193</v>
      </c>
      <c r="N277" s="14"/>
    </row>
    <row r="278" spans="1:14" ht="15" customHeight="1" x14ac:dyDescent="0.2">
      <c r="A278" s="3" t="s">
        <v>227</v>
      </c>
      <c r="B278" s="4">
        <v>25</v>
      </c>
      <c r="C278" s="3" t="s">
        <v>5</v>
      </c>
      <c r="D278" s="3" t="s">
        <v>195</v>
      </c>
      <c r="E278" s="3" t="s">
        <v>357</v>
      </c>
      <c r="F278" s="3" t="s">
        <v>356</v>
      </c>
      <c r="G278" s="5">
        <v>1750.81</v>
      </c>
      <c r="H278" s="4">
        <v>25</v>
      </c>
      <c r="I278" s="5">
        <v>0</v>
      </c>
      <c r="J278" s="5">
        <v>0</v>
      </c>
      <c r="K278" s="5">
        <v>-0.7</v>
      </c>
      <c r="L278" s="5">
        <v>327.5</v>
      </c>
      <c r="M278" s="21" t="s">
        <v>228</v>
      </c>
      <c r="N278" s="21"/>
    </row>
    <row r="279" spans="1:14" ht="15" customHeight="1" x14ac:dyDescent="0.2">
      <c r="A279" s="1" t="s">
        <v>229</v>
      </c>
      <c r="B279" s="6">
        <v>26</v>
      </c>
      <c r="C279" s="1" t="s">
        <v>5</v>
      </c>
      <c r="D279" s="1" t="s">
        <v>190</v>
      </c>
      <c r="E279" s="1" t="s">
        <v>355</v>
      </c>
      <c r="F279" s="1" t="s">
        <v>356</v>
      </c>
      <c r="G279" s="7">
        <v>1786.79</v>
      </c>
      <c r="H279" s="6">
        <v>26</v>
      </c>
      <c r="I279" s="7">
        <v>0</v>
      </c>
      <c r="J279" s="7">
        <v>0</v>
      </c>
      <c r="K279" s="7">
        <v>0</v>
      </c>
      <c r="L279" s="7">
        <v>327.5</v>
      </c>
      <c r="M279" s="14" t="s">
        <v>193</v>
      </c>
      <c r="N279" s="14"/>
    </row>
    <row r="280" spans="1:14" ht="15" customHeight="1" x14ac:dyDescent="0.2">
      <c r="A280" s="3" t="s">
        <v>230</v>
      </c>
      <c r="B280" s="4">
        <v>27</v>
      </c>
      <c r="C280" s="3" t="s">
        <v>5</v>
      </c>
      <c r="D280" s="3" t="s">
        <v>195</v>
      </c>
      <c r="E280" s="3" t="s">
        <v>357</v>
      </c>
      <c r="F280" s="3" t="s">
        <v>356</v>
      </c>
      <c r="G280" s="5">
        <v>1757.41</v>
      </c>
      <c r="H280" s="4">
        <v>27</v>
      </c>
      <c r="I280" s="5">
        <v>0</v>
      </c>
      <c r="J280" s="5">
        <v>0</v>
      </c>
      <c r="K280" s="5">
        <v>-0.59</v>
      </c>
      <c r="L280" s="5">
        <v>326.91000000000003</v>
      </c>
      <c r="M280" s="21" t="s">
        <v>231</v>
      </c>
      <c r="N280" s="21"/>
    </row>
    <row r="281" spans="1:14" ht="15" customHeight="1" x14ac:dyDescent="0.2">
      <c r="A281" s="1" t="s">
        <v>232</v>
      </c>
      <c r="B281" s="6">
        <v>28</v>
      </c>
      <c r="C281" s="1" t="s">
        <v>5</v>
      </c>
      <c r="D281" s="1" t="s">
        <v>190</v>
      </c>
      <c r="E281" s="1" t="s">
        <v>355</v>
      </c>
      <c r="F281" s="1" t="s">
        <v>356</v>
      </c>
      <c r="G281" s="7">
        <v>1833.89</v>
      </c>
      <c r="H281" s="6">
        <v>28</v>
      </c>
      <c r="I281" s="7">
        <v>0</v>
      </c>
      <c r="J281" s="7">
        <v>0</v>
      </c>
      <c r="K281" s="7">
        <v>0</v>
      </c>
      <c r="L281" s="7">
        <v>326.91000000000003</v>
      </c>
      <c r="M281" s="14" t="s">
        <v>193</v>
      </c>
      <c r="N281" s="14"/>
    </row>
    <row r="282" spans="1:14" ht="15" customHeight="1" x14ac:dyDescent="0.2">
      <c r="A282" s="3" t="s">
        <v>233</v>
      </c>
      <c r="B282" s="4">
        <v>29</v>
      </c>
      <c r="C282" s="3" t="s">
        <v>5</v>
      </c>
      <c r="D282" s="3" t="s">
        <v>195</v>
      </c>
      <c r="E282" s="3" t="s">
        <v>357</v>
      </c>
      <c r="F282" s="3" t="s">
        <v>356</v>
      </c>
      <c r="G282" s="5">
        <v>1803.45</v>
      </c>
      <c r="H282" s="4">
        <v>29</v>
      </c>
      <c r="I282" s="5">
        <v>0</v>
      </c>
      <c r="J282" s="5">
        <v>0</v>
      </c>
      <c r="K282" s="5">
        <v>-0.61</v>
      </c>
      <c r="L282" s="5">
        <v>326.3</v>
      </c>
      <c r="M282" s="21" t="s">
        <v>234</v>
      </c>
      <c r="N282" s="21"/>
    </row>
    <row r="283" spans="1:14" ht="15" customHeight="1" x14ac:dyDescent="0.2">
      <c r="A283" s="1" t="s">
        <v>235</v>
      </c>
      <c r="B283" s="6">
        <v>30</v>
      </c>
      <c r="C283" s="1" t="s">
        <v>5</v>
      </c>
      <c r="D283" s="1" t="s">
        <v>190</v>
      </c>
      <c r="E283" s="1" t="s">
        <v>355</v>
      </c>
      <c r="F283" s="1" t="s">
        <v>356</v>
      </c>
      <c r="G283" s="7">
        <v>1800.03</v>
      </c>
      <c r="H283" s="6">
        <v>30</v>
      </c>
      <c r="I283" s="7">
        <v>0</v>
      </c>
      <c r="J283" s="7">
        <v>0</v>
      </c>
      <c r="K283" s="7">
        <v>0</v>
      </c>
      <c r="L283" s="7">
        <v>326.3</v>
      </c>
      <c r="M283" s="14" t="s">
        <v>193</v>
      </c>
      <c r="N283" s="14"/>
    </row>
    <row r="284" spans="1:14" ht="15" customHeight="1" x14ac:dyDescent="0.2">
      <c r="A284" s="3" t="s">
        <v>236</v>
      </c>
      <c r="B284" s="4">
        <v>31</v>
      </c>
      <c r="C284" s="3" t="s">
        <v>5</v>
      </c>
      <c r="D284" s="3" t="s">
        <v>195</v>
      </c>
      <c r="E284" s="3" t="s">
        <v>357</v>
      </c>
      <c r="F284" s="3" t="s">
        <v>356</v>
      </c>
      <c r="G284" s="5">
        <v>1772.1</v>
      </c>
      <c r="H284" s="4">
        <v>31</v>
      </c>
      <c r="I284" s="5">
        <v>0</v>
      </c>
      <c r="J284" s="5">
        <v>0</v>
      </c>
      <c r="K284" s="5">
        <v>-0.56000000000000005</v>
      </c>
      <c r="L284" s="5">
        <v>325.74</v>
      </c>
      <c r="M284" s="21" t="s">
        <v>237</v>
      </c>
      <c r="N284" s="21"/>
    </row>
    <row r="285" spans="1:14" ht="15" customHeight="1" x14ac:dyDescent="0.2">
      <c r="A285" s="1" t="s">
        <v>238</v>
      </c>
      <c r="B285" s="6">
        <v>32</v>
      </c>
      <c r="C285" s="1" t="s">
        <v>5</v>
      </c>
      <c r="D285" s="1" t="s">
        <v>190</v>
      </c>
      <c r="E285" s="1" t="s">
        <v>355</v>
      </c>
      <c r="F285" s="1" t="s">
        <v>356</v>
      </c>
      <c r="G285" s="7">
        <v>2308.41</v>
      </c>
      <c r="H285" s="6">
        <v>32</v>
      </c>
      <c r="I285" s="7">
        <v>0</v>
      </c>
      <c r="J285" s="7">
        <v>0</v>
      </c>
      <c r="K285" s="7">
        <v>0</v>
      </c>
      <c r="L285" s="7">
        <v>325.74</v>
      </c>
      <c r="M285" s="14" t="s">
        <v>193</v>
      </c>
      <c r="N285" s="14"/>
    </row>
    <row r="286" spans="1:14" ht="15" customHeight="1" x14ac:dyDescent="0.2">
      <c r="A286" s="3" t="s">
        <v>239</v>
      </c>
      <c r="B286" s="4">
        <v>33</v>
      </c>
      <c r="C286" s="3" t="s">
        <v>5</v>
      </c>
      <c r="D286" s="3" t="s">
        <v>195</v>
      </c>
      <c r="E286" s="3" t="s">
        <v>357</v>
      </c>
      <c r="F286" s="3" t="s">
        <v>356</v>
      </c>
      <c r="G286" s="5">
        <v>2165.64</v>
      </c>
      <c r="H286" s="4">
        <v>33</v>
      </c>
      <c r="I286" s="5">
        <v>0</v>
      </c>
      <c r="J286" s="5">
        <v>-0.31</v>
      </c>
      <c r="K286" s="5">
        <v>-2.86</v>
      </c>
      <c r="L286" s="5">
        <v>322.57</v>
      </c>
      <c r="M286" s="21" t="s">
        <v>240</v>
      </c>
      <c r="N286" s="21"/>
    </row>
    <row r="287" spans="1:14" ht="15" customHeight="1" x14ac:dyDescent="0.2">
      <c r="A287" s="1" t="s">
        <v>241</v>
      </c>
      <c r="B287" s="6">
        <v>34</v>
      </c>
      <c r="C287" s="1" t="s">
        <v>5</v>
      </c>
      <c r="D287" s="1" t="s">
        <v>190</v>
      </c>
      <c r="E287" s="1" t="s">
        <v>355</v>
      </c>
      <c r="F287" s="1" t="s">
        <v>356</v>
      </c>
      <c r="G287" s="7">
        <v>2589.41</v>
      </c>
      <c r="H287" s="6">
        <v>34</v>
      </c>
      <c r="I287" s="7">
        <v>0</v>
      </c>
      <c r="J287" s="7">
        <v>0</v>
      </c>
      <c r="K287" s="7">
        <v>0</v>
      </c>
      <c r="L287" s="7">
        <v>322.57</v>
      </c>
      <c r="M287" s="14" t="s">
        <v>193</v>
      </c>
      <c r="N287" s="14"/>
    </row>
    <row r="288" spans="1:14" ht="15" customHeight="1" x14ac:dyDescent="0.2">
      <c r="A288" s="3" t="s">
        <v>242</v>
      </c>
      <c r="B288" s="4">
        <v>35</v>
      </c>
      <c r="C288" s="3" t="s">
        <v>5</v>
      </c>
      <c r="D288" s="3" t="s">
        <v>190</v>
      </c>
      <c r="E288" s="3" t="s">
        <v>355</v>
      </c>
      <c r="F288" s="3" t="s">
        <v>356</v>
      </c>
      <c r="G288" s="5">
        <v>2548.2600000000002</v>
      </c>
      <c r="H288" s="4">
        <v>35</v>
      </c>
      <c r="I288" s="5">
        <v>0</v>
      </c>
      <c r="J288" s="5">
        <v>0</v>
      </c>
      <c r="K288" s="5">
        <v>0</v>
      </c>
      <c r="L288" s="5">
        <v>322.57</v>
      </c>
      <c r="M288" s="21" t="s">
        <v>193</v>
      </c>
      <c r="N288" s="21"/>
    </row>
    <row r="289" spans="1:14" ht="15" customHeight="1" x14ac:dyDescent="0.2">
      <c r="A289" s="1" t="s">
        <v>243</v>
      </c>
      <c r="B289" s="6">
        <v>36</v>
      </c>
      <c r="C289" s="1" t="s">
        <v>5</v>
      </c>
      <c r="D289" s="1" t="s">
        <v>195</v>
      </c>
      <c r="E289" s="1" t="s">
        <v>357</v>
      </c>
      <c r="F289" s="1" t="s">
        <v>356</v>
      </c>
      <c r="G289" s="7">
        <v>2533.46</v>
      </c>
      <c r="H289" s="6">
        <v>36</v>
      </c>
      <c r="I289" s="7">
        <v>0</v>
      </c>
      <c r="J289" s="7">
        <v>-0.01</v>
      </c>
      <c r="K289" s="7">
        <v>-1.1200000000000001</v>
      </c>
      <c r="L289" s="7">
        <v>321.44</v>
      </c>
      <c r="M289" s="14" t="s">
        <v>244</v>
      </c>
      <c r="N289" s="14"/>
    </row>
    <row r="290" spans="1:14" ht="15" customHeight="1" x14ac:dyDescent="0.2">
      <c r="A290" s="3" t="s">
        <v>245</v>
      </c>
      <c r="B290" s="4">
        <v>37</v>
      </c>
      <c r="C290" s="3" t="s">
        <v>5</v>
      </c>
      <c r="D290" s="3" t="s">
        <v>195</v>
      </c>
      <c r="E290" s="3" t="s">
        <v>357</v>
      </c>
      <c r="F290" s="3" t="s">
        <v>356</v>
      </c>
      <c r="G290" s="5">
        <v>2516.58</v>
      </c>
      <c r="H290" s="4">
        <v>37</v>
      </c>
      <c r="I290" s="5">
        <v>0</v>
      </c>
      <c r="J290" s="5">
        <v>0</v>
      </c>
      <c r="K290" s="5">
        <v>-0.63</v>
      </c>
      <c r="L290" s="5">
        <v>320.81</v>
      </c>
      <c r="M290" s="21" t="s">
        <v>246</v>
      </c>
      <c r="N290" s="21"/>
    </row>
    <row r="291" spans="1:14" ht="15" customHeight="1" x14ac:dyDescent="0.2">
      <c r="A291" s="1" t="s">
        <v>247</v>
      </c>
      <c r="B291" s="6">
        <v>38</v>
      </c>
      <c r="C291" s="1" t="s">
        <v>5</v>
      </c>
      <c r="D291" s="1" t="s">
        <v>190</v>
      </c>
      <c r="E291" s="1" t="s">
        <v>355</v>
      </c>
      <c r="F291" s="1" t="s">
        <v>356</v>
      </c>
      <c r="G291" s="7">
        <v>2567.34</v>
      </c>
      <c r="H291" s="6">
        <v>38</v>
      </c>
      <c r="I291" s="7">
        <v>0</v>
      </c>
      <c r="J291" s="7">
        <v>0</v>
      </c>
      <c r="K291" s="7">
        <v>0</v>
      </c>
      <c r="L291" s="7">
        <v>320.81</v>
      </c>
      <c r="M291" s="14" t="s">
        <v>193</v>
      </c>
      <c r="N291" s="14"/>
    </row>
    <row r="292" spans="1:14" ht="15" customHeight="1" x14ac:dyDescent="0.2">
      <c r="A292" s="3" t="s">
        <v>248</v>
      </c>
      <c r="B292" s="4">
        <v>39</v>
      </c>
      <c r="C292" s="3" t="s">
        <v>5</v>
      </c>
      <c r="D292" s="3" t="s">
        <v>195</v>
      </c>
      <c r="E292" s="3" t="s">
        <v>357</v>
      </c>
      <c r="F292" s="3" t="s">
        <v>356</v>
      </c>
      <c r="G292" s="5">
        <v>2539.0300000000002</v>
      </c>
      <c r="H292" s="4">
        <v>39</v>
      </c>
      <c r="I292" s="5">
        <v>0</v>
      </c>
      <c r="J292" s="5">
        <v>0</v>
      </c>
      <c r="K292" s="5">
        <v>-0.56999999999999995</v>
      </c>
      <c r="L292" s="5">
        <v>320.24</v>
      </c>
      <c r="M292" s="21" t="s">
        <v>249</v>
      </c>
      <c r="N292" s="21"/>
    </row>
    <row r="293" spans="1:14" ht="15" customHeight="1" x14ac:dyDescent="0.2">
      <c r="A293" s="1" t="s">
        <v>250</v>
      </c>
      <c r="B293" s="6">
        <v>40</v>
      </c>
      <c r="C293" s="1" t="s">
        <v>5</v>
      </c>
      <c r="D293" s="1" t="s">
        <v>190</v>
      </c>
      <c r="E293" s="1" t="s">
        <v>355</v>
      </c>
      <c r="F293" s="1" t="s">
        <v>356</v>
      </c>
      <c r="G293" s="7">
        <v>2605.04</v>
      </c>
      <c r="H293" s="6">
        <v>40</v>
      </c>
      <c r="I293" s="7">
        <v>0</v>
      </c>
      <c r="J293" s="7">
        <v>0</v>
      </c>
      <c r="K293" s="7">
        <v>0</v>
      </c>
      <c r="L293" s="7">
        <v>320.24</v>
      </c>
      <c r="M293" s="14" t="s">
        <v>193</v>
      </c>
      <c r="N293" s="14"/>
    </row>
    <row r="294" spans="1:14" ht="15" customHeight="1" x14ac:dyDescent="0.2">
      <c r="A294" s="3" t="s">
        <v>251</v>
      </c>
      <c r="B294" s="4">
        <v>41</v>
      </c>
      <c r="C294" s="3" t="s">
        <v>5</v>
      </c>
      <c r="D294" s="3" t="s">
        <v>195</v>
      </c>
      <c r="E294" s="3" t="s">
        <v>357</v>
      </c>
      <c r="F294" s="3" t="s">
        <v>356</v>
      </c>
      <c r="G294" s="5">
        <v>3843.28</v>
      </c>
      <c r="H294" s="4">
        <v>41</v>
      </c>
      <c r="I294" s="5">
        <v>0</v>
      </c>
      <c r="J294" s="5">
        <v>-0.13</v>
      </c>
      <c r="K294" s="5">
        <v>24.76</v>
      </c>
      <c r="L294" s="5">
        <v>344.87</v>
      </c>
      <c r="M294" s="21" t="s">
        <v>252</v>
      </c>
      <c r="N294" s="21"/>
    </row>
    <row r="295" spans="1:14" ht="15" customHeight="1" x14ac:dyDescent="0.2">
      <c r="A295" s="1" t="s">
        <v>253</v>
      </c>
      <c r="B295" s="6">
        <v>42</v>
      </c>
      <c r="C295" s="1" t="s">
        <v>5</v>
      </c>
      <c r="D295" s="1" t="s">
        <v>190</v>
      </c>
      <c r="E295" s="1" t="s">
        <v>355</v>
      </c>
      <c r="F295" s="1" t="s">
        <v>356</v>
      </c>
      <c r="G295" s="7">
        <v>3786.67</v>
      </c>
      <c r="H295" s="6">
        <v>42</v>
      </c>
      <c r="I295" s="7">
        <v>0</v>
      </c>
      <c r="J295" s="7">
        <v>0</v>
      </c>
      <c r="K295" s="7">
        <v>0</v>
      </c>
      <c r="L295" s="7">
        <v>344.87</v>
      </c>
      <c r="M295" s="14" t="s">
        <v>193</v>
      </c>
      <c r="N295" s="14"/>
    </row>
    <row r="296" spans="1:14" ht="15" customHeight="1" x14ac:dyDescent="0.2">
      <c r="A296" s="3" t="s">
        <v>254</v>
      </c>
      <c r="B296" s="4">
        <v>43</v>
      </c>
      <c r="C296" s="3" t="s">
        <v>5</v>
      </c>
      <c r="D296" s="3" t="s">
        <v>195</v>
      </c>
      <c r="E296" s="3" t="s">
        <v>357</v>
      </c>
      <c r="F296" s="3" t="s">
        <v>356</v>
      </c>
      <c r="G296" s="5">
        <v>3674.21</v>
      </c>
      <c r="H296" s="4">
        <v>43</v>
      </c>
      <c r="I296" s="5">
        <v>0</v>
      </c>
      <c r="J296" s="5">
        <v>-0.02</v>
      </c>
      <c r="K296" s="5">
        <v>-2.25</v>
      </c>
      <c r="L296" s="5">
        <v>342.6</v>
      </c>
      <c r="M296" s="21" t="s">
        <v>255</v>
      </c>
      <c r="N296" s="21"/>
    </row>
    <row r="297" spans="1:14" ht="15" customHeight="1" x14ac:dyDescent="0.2">
      <c r="A297" s="1" t="s">
        <v>256</v>
      </c>
      <c r="B297" s="6">
        <v>44</v>
      </c>
      <c r="C297" s="1" t="s">
        <v>5</v>
      </c>
      <c r="D297" s="1" t="s">
        <v>190</v>
      </c>
      <c r="E297" s="1" t="s">
        <v>355</v>
      </c>
      <c r="F297" s="1" t="s">
        <v>356</v>
      </c>
      <c r="G297" s="7">
        <v>3742.88</v>
      </c>
      <c r="H297" s="6">
        <v>44</v>
      </c>
      <c r="I297" s="7">
        <v>0</v>
      </c>
      <c r="J297" s="7">
        <v>0</v>
      </c>
      <c r="K297" s="7">
        <v>0</v>
      </c>
      <c r="L297" s="7">
        <v>342.6</v>
      </c>
      <c r="M297" s="14" t="s">
        <v>193</v>
      </c>
      <c r="N297" s="14"/>
    </row>
    <row r="298" spans="1:14" ht="15" customHeight="1" x14ac:dyDescent="0.2">
      <c r="A298" s="3" t="s">
        <v>257</v>
      </c>
      <c r="B298" s="4">
        <v>45</v>
      </c>
      <c r="C298" s="3" t="s">
        <v>5</v>
      </c>
      <c r="D298" s="3" t="s">
        <v>195</v>
      </c>
      <c r="E298" s="3" t="s">
        <v>357</v>
      </c>
      <c r="F298" s="3" t="s">
        <v>356</v>
      </c>
      <c r="G298" s="5">
        <v>3667.6</v>
      </c>
      <c r="H298" s="4">
        <v>45</v>
      </c>
      <c r="I298" s="5">
        <v>0</v>
      </c>
      <c r="J298" s="5">
        <v>-0.01</v>
      </c>
      <c r="K298" s="5">
        <v>-1.51</v>
      </c>
      <c r="L298" s="5">
        <v>341.08</v>
      </c>
      <c r="M298" s="21" t="s">
        <v>258</v>
      </c>
      <c r="N298" s="21"/>
    </row>
    <row r="299" spans="1:14" ht="15" customHeight="1" x14ac:dyDescent="0.2">
      <c r="A299" s="1" t="s">
        <v>259</v>
      </c>
      <c r="B299" s="6">
        <v>46</v>
      </c>
      <c r="C299" s="1" t="s">
        <v>5</v>
      </c>
      <c r="D299" s="1" t="s">
        <v>190</v>
      </c>
      <c r="E299" s="1" t="s">
        <v>355</v>
      </c>
      <c r="F299" s="1" t="s">
        <v>356</v>
      </c>
      <c r="G299" s="7">
        <v>3584.05</v>
      </c>
      <c r="H299" s="6">
        <v>46</v>
      </c>
      <c r="I299" s="7">
        <v>0</v>
      </c>
      <c r="J299" s="7">
        <v>0</v>
      </c>
      <c r="K299" s="7">
        <v>0</v>
      </c>
      <c r="L299" s="7">
        <v>341.08</v>
      </c>
      <c r="M299" s="14" t="s">
        <v>193</v>
      </c>
      <c r="N299" s="14"/>
    </row>
    <row r="300" spans="1:14" ht="15" customHeight="1" x14ac:dyDescent="0.2">
      <c r="A300" s="3" t="s">
        <v>260</v>
      </c>
      <c r="B300" s="4">
        <v>47</v>
      </c>
      <c r="C300" s="3" t="s">
        <v>5</v>
      </c>
      <c r="D300" s="3" t="s">
        <v>195</v>
      </c>
      <c r="E300" s="3" t="s">
        <v>357</v>
      </c>
      <c r="F300" s="3" t="s">
        <v>356</v>
      </c>
      <c r="G300" s="5">
        <v>3486.14</v>
      </c>
      <c r="H300" s="4">
        <v>47</v>
      </c>
      <c r="I300" s="5">
        <v>0</v>
      </c>
      <c r="J300" s="5">
        <v>-0.01</v>
      </c>
      <c r="K300" s="5">
        <v>-1.96</v>
      </c>
      <c r="L300" s="5">
        <v>339.11</v>
      </c>
      <c r="M300" s="21" t="s">
        <v>261</v>
      </c>
      <c r="N300" s="21"/>
    </row>
    <row r="301" spans="1:14" ht="15" customHeight="1" x14ac:dyDescent="0.2">
      <c r="A301" s="1" t="s">
        <v>262</v>
      </c>
      <c r="B301" s="6">
        <v>48</v>
      </c>
      <c r="C301" s="1" t="s">
        <v>5</v>
      </c>
      <c r="D301" s="1" t="s">
        <v>190</v>
      </c>
      <c r="E301" s="1" t="s">
        <v>355</v>
      </c>
      <c r="F301" s="1" t="s">
        <v>356</v>
      </c>
      <c r="G301" s="7">
        <v>3426.6</v>
      </c>
      <c r="H301" s="6">
        <v>48</v>
      </c>
      <c r="I301" s="7">
        <v>0</v>
      </c>
      <c r="J301" s="7">
        <v>0</v>
      </c>
      <c r="K301" s="7">
        <v>0</v>
      </c>
      <c r="L301" s="7">
        <v>339.11</v>
      </c>
      <c r="M301" s="14" t="s">
        <v>193</v>
      </c>
      <c r="N301" s="14"/>
    </row>
    <row r="302" spans="1:14" ht="15" customHeight="1" x14ac:dyDescent="0.2">
      <c r="A302" s="3" t="s">
        <v>263</v>
      </c>
      <c r="B302" s="4">
        <v>49</v>
      </c>
      <c r="C302" s="3" t="s">
        <v>5</v>
      </c>
      <c r="D302" s="3" t="s">
        <v>195</v>
      </c>
      <c r="E302" s="3" t="s">
        <v>357</v>
      </c>
      <c r="F302" s="3" t="s">
        <v>356</v>
      </c>
      <c r="G302" s="5">
        <v>3355.98</v>
      </c>
      <c r="H302" s="4">
        <v>49</v>
      </c>
      <c r="I302" s="5">
        <v>0</v>
      </c>
      <c r="J302" s="5">
        <v>0</v>
      </c>
      <c r="K302" s="5">
        <v>-1.41</v>
      </c>
      <c r="L302" s="5">
        <v>337.7</v>
      </c>
      <c r="M302" s="21" t="s">
        <v>264</v>
      </c>
      <c r="N302" s="21"/>
    </row>
    <row r="303" spans="1:14" ht="15" customHeight="1" x14ac:dyDescent="0.2">
      <c r="A303" s="1" t="s">
        <v>265</v>
      </c>
      <c r="B303" s="6">
        <v>50</v>
      </c>
      <c r="C303" s="1" t="s">
        <v>5</v>
      </c>
      <c r="D303" s="1" t="s">
        <v>190</v>
      </c>
      <c r="E303" s="1" t="s">
        <v>355</v>
      </c>
      <c r="F303" s="1" t="s">
        <v>356</v>
      </c>
      <c r="G303" s="7">
        <v>3659.56</v>
      </c>
      <c r="H303" s="6">
        <v>50</v>
      </c>
      <c r="I303" s="7">
        <v>0</v>
      </c>
      <c r="J303" s="7">
        <v>0</v>
      </c>
      <c r="K303" s="7">
        <v>0</v>
      </c>
      <c r="L303" s="7">
        <v>337.7</v>
      </c>
      <c r="M303" s="14" t="s">
        <v>193</v>
      </c>
      <c r="N303" s="14"/>
    </row>
    <row r="304" spans="1:14" ht="15" customHeight="1" x14ac:dyDescent="0.2">
      <c r="A304" s="3" t="s">
        <v>266</v>
      </c>
      <c r="B304" s="4">
        <v>51</v>
      </c>
      <c r="C304" s="3" t="s">
        <v>5</v>
      </c>
      <c r="D304" s="3" t="s">
        <v>195</v>
      </c>
      <c r="E304" s="3" t="s">
        <v>357</v>
      </c>
      <c r="F304" s="3" t="s">
        <v>356</v>
      </c>
      <c r="G304" s="5">
        <v>3612.4</v>
      </c>
      <c r="H304" s="4">
        <v>51</v>
      </c>
      <c r="I304" s="5">
        <v>0</v>
      </c>
      <c r="J304" s="5">
        <v>0</v>
      </c>
      <c r="K304" s="5">
        <v>-0.94</v>
      </c>
      <c r="L304" s="5">
        <v>336.76</v>
      </c>
      <c r="M304" s="21" t="s">
        <v>267</v>
      </c>
      <c r="N304" s="21"/>
    </row>
    <row r="305" spans="1:14" ht="15" customHeight="1" x14ac:dyDescent="0.2">
      <c r="A305" s="1" t="s">
        <v>268</v>
      </c>
      <c r="B305" s="6">
        <v>52</v>
      </c>
      <c r="C305" s="1" t="s">
        <v>5</v>
      </c>
      <c r="D305" s="1" t="s">
        <v>190</v>
      </c>
      <c r="E305" s="1" t="s">
        <v>355</v>
      </c>
      <c r="F305" s="1" t="s">
        <v>356</v>
      </c>
      <c r="G305" s="7">
        <v>3617.13</v>
      </c>
      <c r="H305" s="6">
        <v>52</v>
      </c>
      <c r="I305" s="7">
        <v>0</v>
      </c>
      <c r="J305" s="7">
        <v>0</v>
      </c>
      <c r="K305" s="7">
        <v>0</v>
      </c>
      <c r="L305" s="7">
        <v>336.76</v>
      </c>
      <c r="M305" s="14" t="s">
        <v>193</v>
      </c>
      <c r="N305" s="14"/>
    </row>
    <row r="306" spans="1:14" ht="15" customHeight="1" x14ac:dyDescent="0.2">
      <c r="A306" s="3" t="s">
        <v>269</v>
      </c>
      <c r="B306" s="4">
        <v>53</v>
      </c>
      <c r="C306" s="3" t="s">
        <v>5</v>
      </c>
      <c r="D306" s="3" t="s">
        <v>195</v>
      </c>
      <c r="E306" s="3" t="s">
        <v>357</v>
      </c>
      <c r="F306" s="3" t="s">
        <v>356</v>
      </c>
      <c r="G306" s="5">
        <v>4827.9799999999996</v>
      </c>
      <c r="H306" s="4">
        <v>53</v>
      </c>
      <c r="I306" s="5">
        <v>0</v>
      </c>
      <c r="J306" s="5">
        <v>-0.13</v>
      </c>
      <c r="K306" s="5">
        <v>24.22</v>
      </c>
      <c r="L306" s="5">
        <v>360.85</v>
      </c>
      <c r="M306" s="21" t="s">
        <v>270</v>
      </c>
      <c r="N306" s="21"/>
    </row>
    <row r="307" spans="1:14" ht="15" customHeight="1" x14ac:dyDescent="0.2">
      <c r="A307" s="1" t="s">
        <v>271</v>
      </c>
      <c r="B307" s="6">
        <v>54</v>
      </c>
      <c r="C307" s="1" t="s">
        <v>5</v>
      </c>
      <c r="D307" s="1" t="s">
        <v>190</v>
      </c>
      <c r="E307" s="1" t="s">
        <v>355</v>
      </c>
      <c r="F307" s="1" t="s">
        <v>356</v>
      </c>
      <c r="G307" s="7">
        <v>4739.84</v>
      </c>
      <c r="H307" s="6">
        <v>54</v>
      </c>
      <c r="I307" s="7">
        <v>0</v>
      </c>
      <c r="J307" s="7">
        <v>0</v>
      </c>
      <c r="K307" s="7">
        <v>0</v>
      </c>
      <c r="L307" s="7">
        <v>360.85</v>
      </c>
      <c r="M307" s="14" t="s">
        <v>193</v>
      </c>
      <c r="N307" s="14"/>
    </row>
    <row r="308" spans="1:14" ht="15" customHeight="1" x14ac:dyDescent="0.2">
      <c r="A308" s="3" t="s">
        <v>272</v>
      </c>
      <c r="B308" s="4">
        <v>55</v>
      </c>
      <c r="C308" s="3" t="s">
        <v>5</v>
      </c>
      <c r="D308" s="3" t="s">
        <v>195</v>
      </c>
      <c r="E308" s="3" t="s">
        <v>357</v>
      </c>
      <c r="F308" s="3" t="s">
        <v>356</v>
      </c>
      <c r="G308" s="5">
        <v>4704.3900000000003</v>
      </c>
      <c r="H308" s="4">
        <v>55</v>
      </c>
      <c r="I308" s="5">
        <v>0</v>
      </c>
      <c r="J308" s="5">
        <v>0</v>
      </c>
      <c r="K308" s="5">
        <v>-0.71</v>
      </c>
      <c r="L308" s="5">
        <v>360.14</v>
      </c>
      <c r="M308" s="21" t="s">
        <v>273</v>
      </c>
      <c r="N308" s="21"/>
    </row>
    <row r="309" spans="1:14" ht="15" customHeight="1" x14ac:dyDescent="0.2">
      <c r="A309" s="1" t="s">
        <v>274</v>
      </c>
      <c r="B309" s="6">
        <v>56</v>
      </c>
      <c r="C309" s="1" t="s">
        <v>5</v>
      </c>
      <c r="D309" s="1" t="s">
        <v>190</v>
      </c>
      <c r="E309" s="1" t="s">
        <v>355</v>
      </c>
      <c r="F309" s="1" t="s">
        <v>356</v>
      </c>
      <c r="G309" s="7">
        <v>4554.58</v>
      </c>
      <c r="H309" s="6">
        <v>56</v>
      </c>
      <c r="I309" s="7">
        <v>0</v>
      </c>
      <c r="J309" s="7">
        <v>0</v>
      </c>
      <c r="K309" s="7">
        <v>0</v>
      </c>
      <c r="L309" s="7">
        <v>360.14</v>
      </c>
      <c r="M309" s="14" t="s">
        <v>193</v>
      </c>
      <c r="N309" s="14"/>
    </row>
    <row r="310" spans="1:14" ht="15" customHeight="1" x14ac:dyDescent="0.2">
      <c r="A310" s="3" t="s">
        <v>275</v>
      </c>
      <c r="B310" s="4">
        <v>57</v>
      </c>
      <c r="C310" s="3" t="s">
        <v>5</v>
      </c>
      <c r="D310" s="3" t="s">
        <v>195</v>
      </c>
      <c r="E310" s="3" t="s">
        <v>357</v>
      </c>
      <c r="F310" s="3" t="s">
        <v>356</v>
      </c>
      <c r="G310" s="5">
        <v>4447.51</v>
      </c>
      <c r="H310" s="4">
        <v>57</v>
      </c>
      <c r="I310" s="5">
        <v>0</v>
      </c>
      <c r="J310" s="5">
        <v>0</v>
      </c>
      <c r="K310" s="5">
        <v>-2.14</v>
      </c>
      <c r="L310" s="5">
        <v>358</v>
      </c>
      <c r="M310" s="21" t="s">
        <v>276</v>
      </c>
      <c r="N310" s="21"/>
    </row>
    <row r="311" spans="1:14" ht="15" customHeight="1" x14ac:dyDescent="0.2">
      <c r="A311" s="1" t="s">
        <v>277</v>
      </c>
      <c r="B311" s="6">
        <v>58</v>
      </c>
      <c r="C311" s="1" t="s">
        <v>5</v>
      </c>
      <c r="D311" s="1" t="s">
        <v>190</v>
      </c>
      <c r="E311" s="1" t="s">
        <v>355</v>
      </c>
      <c r="F311" s="1" t="s">
        <v>356</v>
      </c>
      <c r="G311" s="7">
        <v>4571.6099999999997</v>
      </c>
      <c r="H311" s="6">
        <v>58</v>
      </c>
      <c r="I311" s="7">
        <v>0</v>
      </c>
      <c r="J311" s="7">
        <v>0</v>
      </c>
      <c r="K311" s="7">
        <v>0</v>
      </c>
      <c r="L311" s="7">
        <v>358</v>
      </c>
      <c r="M311" s="14" t="s">
        <v>193</v>
      </c>
      <c r="N311" s="14"/>
    </row>
    <row r="312" spans="1:14" ht="15" customHeight="1" x14ac:dyDescent="0.2">
      <c r="A312" s="3" t="s">
        <v>278</v>
      </c>
      <c r="B312" s="4">
        <v>59</v>
      </c>
      <c r="C312" s="3" t="s">
        <v>5</v>
      </c>
      <c r="D312" s="3" t="s">
        <v>195</v>
      </c>
      <c r="E312" s="3" t="s">
        <v>357</v>
      </c>
      <c r="F312" s="3" t="s">
        <v>356</v>
      </c>
      <c r="G312" s="5">
        <v>4504.5</v>
      </c>
      <c r="H312" s="4">
        <v>59</v>
      </c>
      <c r="I312" s="5">
        <v>0</v>
      </c>
      <c r="J312" s="5">
        <v>-0.01</v>
      </c>
      <c r="K312" s="5">
        <v>-1.34</v>
      </c>
      <c r="L312" s="5">
        <v>356.65</v>
      </c>
      <c r="M312" s="21" t="s">
        <v>279</v>
      </c>
      <c r="N312" s="21"/>
    </row>
    <row r="313" spans="1:14" ht="15" customHeight="1" x14ac:dyDescent="0.2">
      <c r="A313" s="1" t="s">
        <v>280</v>
      </c>
      <c r="B313" s="6">
        <v>60</v>
      </c>
      <c r="C313" s="1" t="s">
        <v>5</v>
      </c>
      <c r="D313" s="1" t="s">
        <v>190</v>
      </c>
      <c r="E313" s="1" t="s">
        <v>355</v>
      </c>
      <c r="F313" s="1" t="s">
        <v>356</v>
      </c>
      <c r="G313" s="7">
        <v>4475.99</v>
      </c>
      <c r="H313" s="6">
        <v>60</v>
      </c>
      <c r="I313" s="7">
        <v>0</v>
      </c>
      <c r="J313" s="7">
        <v>0</v>
      </c>
      <c r="K313" s="7">
        <v>0</v>
      </c>
      <c r="L313" s="7">
        <v>356.65</v>
      </c>
      <c r="M313" s="14" t="s">
        <v>193</v>
      </c>
      <c r="N313" s="14"/>
    </row>
    <row r="314" spans="1:14" ht="15" customHeight="1" x14ac:dyDescent="0.2">
      <c r="A314" s="3" t="s">
        <v>281</v>
      </c>
      <c r="B314" s="4">
        <v>61</v>
      </c>
      <c r="C314" s="3" t="s">
        <v>5</v>
      </c>
      <c r="D314" s="3" t="s">
        <v>195</v>
      </c>
      <c r="E314" s="3" t="s">
        <v>357</v>
      </c>
      <c r="F314" s="3" t="s">
        <v>356</v>
      </c>
      <c r="G314" s="5">
        <v>4376.49</v>
      </c>
      <c r="H314" s="4">
        <v>61</v>
      </c>
      <c r="I314" s="5">
        <v>0</v>
      </c>
      <c r="J314" s="5">
        <v>-0.01</v>
      </c>
      <c r="K314" s="5">
        <v>-1.99</v>
      </c>
      <c r="L314" s="5">
        <v>354.65</v>
      </c>
      <c r="M314" s="21" t="s">
        <v>282</v>
      </c>
      <c r="N314" s="21"/>
    </row>
    <row r="315" spans="1:14" ht="15" customHeight="1" x14ac:dyDescent="0.2">
      <c r="A315" s="1" t="s">
        <v>283</v>
      </c>
      <c r="B315" s="6">
        <v>62</v>
      </c>
      <c r="C315" s="1" t="s">
        <v>5</v>
      </c>
      <c r="D315" s="1" t="s">
        <v>190</v>
      </c>
      <c r="E315" s="1" t="s">
        <v>355</v>
      </c>
      <c r="F315" s="1" t="s">
        <v>356</v>
      </c>
      <c r="G315" s="7">
        <v>4327.33</v>
      </c>
      <c r="H315" s="6">
        <v>62</v>
      </c>
      <c r="I315" s="7">
        <v>0</v>
      </c>
      <c r="J315" s="7">
        <v>0</v>
      </c>
      <c r="K315" s="7">
        <v>0</v>
      </c>
      <c r="L315" s="7">
        <v>354.65</v>
      </c>
      <c r="M315" s="14" t="s">
        <v>193</v>
      </c>
      <c r="N315" s="14"/>
    </row>
    <row r="316" spans="1:14" ht="15" customHeight="1" x14ac:dyDescent="0.2">
      <c r="A316" s="3" t="s">
        <v>284</v>
      </c>
      <c r="B316" s="4">
        <v>63</v>
      </c>
      <c r="C316" s="3" t="s">
        <v>5</v>
      </c>
      <c r="D316" s="3" t="s">
        <v>195</v>
      </c>
      <c r="E316" s="3" t="s">
        <v>357</v>
      </c>
      <c r="F316" s="3" t="s">
        <v>356</v>
      </c>
      <c r="G316" s="5">
        <v>4265.78</v>
      </c>
      <c r="H316" s="4">
        <v>63</v>
      </c>
      <c r="I316" s="5">
        <v>0</v>
      </c>
      <c r="J316" s="5">
        <v>0</v>
      </c>
      <c r="K316" s="5">
        <v>-1.23</v>
      </c>
      <c r="L316" s="5">
        <v>353.42</v>
      </c>
      <c r="M316" s="21" t="s">
        <v>285</v>
      </c>
      <c r="N316" s="21"/>
    </row>
    <row r="317" spans="1:14" ht="15" customHeight="1" x14ac:dyDescent="0.2">
      <c r="A317" s="1" t="s">
        <v>286</v>
      </c>
      <c r="B317" s="6">
        <v>64</v>
      </c>
      <c r="C317" s="1" t="s">
        <v>5</v>
      </c>
      <c r="D317" s="1" t="s">
        <v>190</v>
      </c>
      <c r="E317" s="1" t="s">
        <v>355</v>
      </c>
      <c r="F317" s="1" t="s">
        <v>356</v>
      </c>
      <c r="G317" s="7">
        <v>4448.42</v>
      </c>
      <c r="H317" s="6">
        <v>64</v>
      </c>
      <c r="I317" s="7">
        <v>0</v>
      </c>
      <c r="J317" s="7">
        <v>0</v>
      </c>
      <c r="K317" s="7">
        <v>0</v>
      </c>
      <c r="L317" s="7">
        <v>353.42</v>
      </c>
      <c r="M317" s="14" t="s">
        <v>193</v>
      </c>
      <c r="N317" s="14"/>
    </row>
    <row r="318" spans="1:14" ht="15" customHeight="1" x14ac:dyDescent="0.2">
      <c r="A318" s="3" t="s">
        <v>287</v>
      </c>
      <c r="B318" s="4">
        <v>65</v>
      </c>
      <c r="C318" s="3" t="s">
        <v>5</v>
      </c>
      <c r="D318" s="3" t="s">
        <v>195</v>
      </c>
      <c r="E318" s="3" t="s">
        <v>357</v>
      </c>
      <c r="F318" s="3" t="s">
        <v>356</v>
      </c>
      <c r="G318" s="5">
        <v>4400.84</v>
      </c>
      <c r="H318" s="4">
        <v>65</v>
      </c>
      <c r="I318" s="5">
        <v>0</v>
      </c>
      <c r="J318" s="5">
        <v>0</v>
      </c>
      <c r="K318" s="5">
        <v>-0.95</v>
      </c>
      <c r="L318" s="5">
        <v>352.47</v>
      </c>
      <c r="M318" s="21" t="s">
        <v>288</v>
      </c>
      <c r="N318" s="21"/>
    </row>
    <row r="319" spans="1:14" ht="15" customHeight="1" x14ac:dyDescent="0.2">
      <c r="A319" s="1" t="s">
        <v>289</v>
      </c>
      <c r="B319" s="6">
        <v>66</v>
      </c>
      <c r="C319" s="1" t="s">
        <v>5</v>
      </c>
      <c r="D319" s="1" t="s">
        <v>190</v>
      </c>
      <c r="E319" s="1" t="s">
        <v>355</v>
      </c>
      <c r="F319" s="1" t="s">
        <v>356</v>
      </c>
      <c r="G319" s="7">
        <v>4385.8100000000004</v>
      </c>
      <c r="H319" s="6">
        <v>66</v>
      </c>
      <c r="I319" s="7">
        <v>0</v>
      </c>
      <c r="J319" s="7">
        <v>0</v>
      </c>
      <c r="K319" s="7">
        <v>0</v>
      </c>
      <c r="L319" s="7">
        <v>352.47</v>
      </c>
      <c r="M319" s="14" t="s">
        <v>193</v>
      </c>
      <c r="N319" s="14"/>
    </row>
    <row r="320" spans="1:14" ht="15" customHeight="1" x14ac:dyDescent="0.2">
      <c r="A320" s="3" t="s">
        <v>290</v>
      </c>
      <c r="B320" s="4">
        <v>67</v>
      </c>
      <c r="C320" s="3" t="s">
        <v>5</v>
      </c>
      <c r="D320" s="3" t="s">
        <v>195</v>
      </c>
      <c r="E320" s="3" t="s">
        <v>357</v>
      </c>
      <c r="F320" s="3" t="s">
        <v>356</v>
      </c>
      <c r="G320" s="5">
        <v>4306.38</v>
      </c>
      <c r="H320" s="4">
        <v>67</v>
      </c>
      <c r="I320" s="5">
        <v>0</v>
      </c>
      <c r="J320" s="5">
        <v>0</v>
      </c>
      <c r="K320" s="5">
        <v>-1.59</v>
      </c>
      <c r="L320" s="5">
        <v>350.88</v>
      </c>
      <c r="M320" s="21" t="s">
        <v>291</v>
      </c>
      <c r="N320" s="21"/>
    </row>
    <row r="321" spans="1:14" ht="15" customHeight="1" x14ac:dyDescent="0.2">
      <c r="A321" s="1" t="s">
        <v>292</v>
      </c>
      <c r="B321" s="6">
        <v>68</v>
      </c>
      <c r="C321" s="1" t="s">
        <v>5</v>
      </c>
      <c r="D321" s="1" t="s">
        <v>190</v>
      </c>
      <c r="E321" s="1" t="s">
        <v>355</v>
      </c>
      <c r="F321" s="1" t="s">
        <v>356</v>
      </c>
      <c r="G321" s="7">
        <v>4278.91</v>
      </c>
      <c r="H321" s="6">
        <v>68</v>
      </c>
      <c r="I321" s="7">
        <v>0</v>
      </c>
      <c r="J321" s="7">
        <v>0</v>
      </c>
      <c r="K321" s="7">
        <v>0</v>
      </c>
      <c r="L321" s="7">
        <v>350.88</v>
      </c>
      <c r="M321" s="14" t="s">
        <v>193</v>
      </c>
      <c r="N321" s="14"/>
    </row>
    <row r="322" spans="1:14" ht="15" customHeight="1" x14ac:dyDescent="0.2">
      <c r="A322" s="3" t="s">
        <v>293</v>
      </c>
      <c r="B322" s="4">
        <v>69</v>
      </c>
      <c r="C322" s="3" t="s">
        <v>5</v>
      </c>
      <c r="D322" s="3" t="s">
        <v>195</v>
      </c>
      <c r="E322" s="3" t="s">
        <v>357</v>
      </c>
      <c r="F322" s="3" t="s">
        <v>356</v>
      </c>
      <c r="G322" s="5">
        <v>4169.78</v>
      </c>
      <c r="H322" s="4">
        <v>69</v>
      </c>
      <c r="I322" s="5">
        <v>0</v>
      </c>
      <c r="J322" s="5">
        <v>-0.14000000000000001</v>
      </c>
      <c r="K322" s="5">
        <v>-2.1800000000000002</v>
      </c>
      <c r="L322" s="5">
        <v>348.56</v>
      </c>
      <c r="M322" s="21" t="s">
        <v>294</v>
      </c>
      <c r="N322" s="21"/>
    </row>
    <row r="323" spans="1:14" ht="15" customHeight="1" x14ac:dyDescent="0.2">
      <c r="A323" s="1" t="s">
        <v>295</v>
      </c>
      <c r="B323" s="6">
        <v>70</v>
      </c>
      <c r="C323" s="1" t="s">
        <v>5</v>
      </c>
      <c r="D323" s="1" t="s">
        <v>190</v>
      </c>
      <c r="E323" s="1" t="s">
        <v>355</v>
      </c>
      <c r="F323" s="1" t="s">
        <v>356</v>
      </c>
      <c r="G323" s="7">
        <v>4463.3900000000003</v>
      </c>
      <c r="H323" s="6">
        <v>70</v>
      </c>
      <c r="I323" s="7">
        <v>0</v>
      </c>
      <c r="J323" s="7">
        <v>0</v>
      </c>
      <c r="K323" s="7">
        <v>0</v>
      </c>
      <c r="L323" s="7">
        <v>348.56</v>
      </c>
      <c r="M323" s="14" t="s">
        <v>193</v>
      </c>
      <c r="N323" s="14"/>
    </row>
    <row r="324" spans="1:14" ht="15" customHeight="1" x14ac:dyDescent="0.2">
      <c r="A324" s="3" t="s">
        <v>296</v>
      </c>
      <c r="B324" s="4">
        <v>71</v>
      </c>
      <c r="C324" s="3" t="s">
        <v>5</v>
      </c>
      <c r="D324" s="3" t="s">
        <v>195</v>
      </c>
      <c r="E324" s="3" t="s">
        <v>357</v>
      </c>
      <c r="F324" s="3" t="s">
        <v>356</v>
      </c>
      <c r="G324" s="5">
        <v>4414.93</v>
      </c>
      <c r="H324" s="4">
        <v>71</v>
      </c>
      <c r="I324" s="5">
        <v>0</v>
      </c>
      <c r="J324" s="5">
        <v>-0.03</v>
      </c>
      <c r="K324" s="5">
        <v>-0.97</v>
      </c>
      <c r="L324" s="5">
        <v>347.56</v>
      </c>
      <c r="M324" s="21" t="s">
        <v>297</v>
      </c>
      <c r="N324" s="21"/>
    </row>
    <row r="325" spans="1:14" ht="15" customHeight="1" x14ac:dyDescent="0.2">
      <c r="A325" s="1" t="s">
        <v>298</v>
      </c>
      <c r="B325" s="6">
        <v>72</v>
      </c>
      <c r="C325" s="1" t="s">
        <v>5</v>
      </c>
      <c r="D325" s="1" t="s">
        <v>190</v>
      </c>
      <c r="E325" s="1" t="s">
        <v>355</v>
      </c>
      <c r="F325" s="1" t="s">
        <v>356</v>
      </c>
      <c r="G325" s="7">
        <v>4436.13</v>
      </c>
      <c r="H325" s="6">
        <v>72</v>
      </c>
      <c r="I325" s="7">
        <v>0</v>
      </c>
      <c r="J325" s="7">
        <v>0</v>
      </c>
      <c r="K325" s="7">
        <v>0</v>
      </c>
      <c r="L325" s="7">
        <v>347.56</v>
      </c>
      <c r="M325" s="14" t="s">
        <v>193</v>
      </c>
      <c r="N325" s="14"/>
    </row>
    <row r="326" spans="1:14" ht="15" customHeight="1" x14ac:dyDescent="0.2">
      <c r="A326" s="3" t="s">
        <v>299</v>
      </c>
      <c r="B326" s="4">
        <v>73</v>
      </c>
      <c r="C326" s="3" t="s">
        <v>5</v>
      </c>
      <c r="D326" s="3" t="s">
        <v>195</v>
      </c>
      <c r="E326" s="3" t="s">
        <v>357</v>
      </c>
      <c r="F326" s="3" t="s">
        <v>356</v>
      </c>
      <c r="G326" s="5">
        <v>4377.3</v>
      </c>
      <c r="H326" s="4">
        <v>73</v>
      </c>
      <c r="I326" s="5">
        <v>0</v>
      </c>
      <c r="J326" s="5">
        <v>0</v>
      </c>
      <c r="K326" s="5">
        <v>-1.18</v>
      </c>
      <c r="L326" s="5">
        <v>346.38</v>
      </c>
      <c r="M326" s="21" t="s">
        <v>300</v>
      </c>
      <c r="N326" s="21"/>
    </row>
    <row r="327" spans="1:14" ht="15" customHeight="1" x14ac:dyDescent="0.2">
      <c r="A327" s="1" t="s">
        <v>301</v>
      </c>
      <c r="B327" s="6">
        <v>74</v>
      </c>
      <c r="C327" s="1" t="s">
        <v>5</v>
      </c>
      <c r="D327" s="1" t="s">
        <v>190</v>
      </c>
      <c r="E327" s="1" t="s">
        <v>355</v>
      </c>
      <c r="F327" s="1" t="s">
        <v>356</v>
      </c>
      <c r="G327" s="7">
        <v>4151.72</v>
      </c>
      <c r="H327" s="6">
        <v>74</v>
      </c>
      <c r="I327" s="7">
        <v>0</v>
      </c>
      <c r="J327" s="7">
        <v>0</v>
      </c>
      <c r="K327" s="7">
        <v>0</v>
      </c>
      <c r="L327" s="7">
        <v>346.38</v>
      </c>
      <c r="M327" s="14" t="s">
        <v>193</v>
      </c>
      <c r="N327" s="14"/>
    </row>
    <row r="328" spans="1:14" ht="15" customHeight="1" x14ac:dyDescent="0.2">
      <c r="A328" s="3" t="s">
        <v>302</v>
      </c>
      <c r="B328" s="4">
        <v>75</v>
      </c>
      <c r="C328" s="3" t="s">
        <v>5</v>
      </c>
      <c r="D328" s="3" t="s">
        <v>195</v>
      </c>
      <c r="E328" s="3" t="s">
        <v>357</v>
      </c>
      <c r="F328" s="3" t="s">
        <v>356</v>
      </c>
      <c r="G328" s="5">
        <v>4066.35</v>
      </c>
      <c r="H328" s="4">
        <v>75</v>
      </c>
      <c r="I328" s="5">
        <v>0</v>
      </c>
      <c r="J328" s="5">
        <v>-0.01</v>
      </c>
      <c r="K328" s="5">
        <v>-1.71</v>
      </c>
      <c r="L328" s="5">
        <v>344.66</v>
      </c>
      <c r="M328" s="21" t="s">
        <v>303</v>
      </c>
      <c r="N328" s="21"/>
    </row>
    <row r="329" spans="1:14" ht="15" customHeight="1" x14ac:dyDescent="0.2">
      <c r="A329" s="1" t="s">
        <v>304</v>
      </c>
      <c r="B329" s="6">
        <v>76</v>
      </c>
      <c r="C329" s="1" t="s">
        <v>5</v>
      </c>
      <c r="D329" s="1" t="s">
        <v>190</v>
      </c>
      <c r="E329" s="1" t="s">
        <v>355</v>
      </c>
      <c r="F329" s="1" t="s">
        <v>356</v>
      </c>
      <c r="G329" s="7">
        <v>3308.61</v>
      </c>
      <c r="H329" s="6">
        <v>76</v>
      </c>
      <c r="I329" s="7">
        <v>0</v>
      </c>
      <c r="J329" s="7">
        <v>0</v>
      </c>
      <c r="K329" s="7">
        <v>0</v>
      </c>
      <c r="L329" s="7">
        <v>344.66</v>
      </c>
      <c r="M329" s="14" t="s">
        <v>193</v>
      </c>
      <c r="N329" s="14"/>
    </row>
    <row r="330" spans="1:14" ht="15" customHeight="1" x14ac:dyDescent="0.2">
      <c r="A330" s="3" t="s">
        <v>305</v>
      </c>
      <c r="B330" s="4">
        <v>77</v>
      </c>
      <c r="C330" s="3" t="s">
        <v>5</v>
      </c>
      <c r="D330" s="3" t="s">
        <v>195</v>
      </c>
      <c r="E330" s="3" t="s">
        <v>357</v>
      </c>
      <c r="F330" s="3" t="s">
        <v>356</v>
      </c>
      <c r="G330" s="5">
        <v>3256.28</v>
      </c>
      <c r="H330" s="4">
        <v>77</v>
      </c>
      <c r="I330" s="5">
        <v>0</v>
      </c>
      <c r="J330" s="5">
        <v>-0.01</v>
      </c>
      <c r="K330" s="5">
        <v>-1.05</v>
      </c>
      <c r="L330" s="5">
        <v>343.6</v>
      </c>
      <c r="M330" s="21" t="s">
        <v>306</v>
      </c>
      <c r="N330" s="21"/>
    </row>
    <row r="331" spans="1:14" ht="15" customHeight="1" x14ac:dyDescent="0.2">
      <c r="A331" s="1" t="s">
        <v>307</v>
      </c>
      <c r="B331" s="6">
        <v>78</v>
      </c>
      <c r="C331" s="1" t="s">
        <v>5</v>
      </c>
      <c r="D331" s="1" t="s">
        <v>190</v>
      </c>
      <c r="E331" s="1" t="s">
        <v>355</v>
      </c>
      <c r="F331" s="1" t="s">
        <v>356</v>
      </c>
      <c r="G331" s="7">
        <v>3226.35</v>
      </c>
      <c r="H331" s="6">
        <v>78</v>
      </c>
      <c r="I331" s="7">
        <v>0</v>
      </c>
      <c r="J331" s="7">
        <v>0</v>
      </c>
      <c r="K331" s="7">
        <v>0</v>
      </c>
      <c r="L331" s="7">
        <v>343.6</v>
      </c>
      <c r="M331" s="14" t="s">
        <v>193</v>
      </c>
      <c r="N331" s="14"/>
    </row>
    <row r="332" spans="1:14" ht="15" customHeight="1" x14ac:dyDescent="0.2">
      <c r="A332" s="3" t="s">
        <v>308</v>
      </c>
      <c r="B332" s="4">
        <v>79</v>
      </c>
      <c r="C332" s="3" t="s">
        <v>5</v>
      </c>
      <c r="D332" s="3" t="s">
        <v>195</v>
      </c>
      <c r="E332" s="3" t="s">
        <v>357</v>
      </c>
      <c r="F332" s="3" t="s">
        <v>356</v>
      </c>
      <c r="G332" s="5">
        <v>3189.57</v>
      </c>
      <c r="H332" s="4">
        <v>79</v>
      </c>
      <c r="I332" s="5">
        <v>0</v>
      </c>
      <c r="J332" s="5">
        <v>0</v>
      </c>
      <c r="K332" s="5">
        <v>-0.74</v>
      </c>
      <c r="L332" s="5">
        <v>342.86</v>
      </c>
      <c r="M332" s="21" t="s">
        <v>309</v>
      </c>
      <c r="N332" s="21"/>
    </row>
    <row r="333" spans="1:14" ht="15" customHeight="1" x14ac:dyDescent="0.2">
      <c r="A333" s="1" t="s">
        <v>310</v>
      </c>
      <c r="B333" s="6">
        <v>80</v>
      </c>
      <c r="C333" s="1" t="s">
        <v>5</v>
      </c>
      <c r="D333" s="1" t="s">
        <v>190</v>
      </c>
      <c r="E333" s="1" t="s">
        <v>355</v>
      </c>
      <c r="F333" s="1" t="s">
        <v>356</v>
      </c>
      <c r="G333" s="7">
        <v>3150.69</v>
      </c>
      <c r="H333" s="6">
        <v>80</v>
      </c>
      <c r="I333" s="7">
        <v>0</v>
      </c>
      <c r="J333" s="7">
        <v>0</v>
      </c>
      <c r="K333" s="7">
        <v>0</v>
      </c>
      <c r="L333" s="7">
        <v>342.86</v>
      </c>
      <c r="M333" s="14" t="s">
        <v>193</v>
      </c>
      <c r="N333" s="14"/>
    </row>
    <row r="334" spans="1:14" ht="15" customHeight="1" x14ac:dyDescent="0.2">
      <c r="A334" s="3" t="s">
        <v>311</v>
      </c>
      <c r="B334" s="4">
        <v>81</v>
      </c>
      <c r="C334" s="3" t="s">
        <v>5</v>
      </c>
      <c r="D334" s="3" t="s">
        <v>195</v>
      </c>
      <c r="E334" s="3" t="s">
        <v>357</v>
      </c>
      <c r="F334" s="3" t="s">
        <v>356</v>
      </c>
      <c r="G334" s="5">
        <v>3113.66</v>
      </c>
      <c r="H334" s="4">
        <v>81</v>
      </c>
      <c r="I334" s="5">
        <v>0</v>
      </c>
      <c r="J334" s="5">
        <v>-0.03</v>
      </c>
      <c r="K334" s="5">
        <v>-0.74</v>
      </c>
      <c r="L334" s="5">
        <v>342.09</v>
      </c>
      <c r="M334" s="21" t="s">
        <v>312</v>
      </c>
      <c r="N334" s="21"/>
    </row>
    <row r="335" spans="1:14" ht="15" customHeight="1" x14ac:dyDescent="0.2">
      <c r="A335" s="1" t="s">
        <v>313</v>
      </c>
      <c r="B335" s="6">
        <v>82</v>
      </c>
      <c r="C335" s="1" t="s">
        <v>5</v>
      </c>
      <c r="D335" s="1" t="s">
        <v>190</v>
      </c>
      <c r="E335" s="1" t="s">
        <v>355</v>
      </c>
      <c r="F335" s="1" t="s">
        <v>356</v>
      </c>
      <c r="G335" s="7">
        <v>3108.58</v>
      </c>
      <c r="H335" s="6">
        <v>82</v>
      </c>
      <c r="I335" s="7">
        <v>0</v>
      </c>
      <c r="J335" s="7">
        <v>0</v>
      </c>
      <c r="K335" s="7">
        <v>0</v>
      </c>
      <c r="L335" s="7">
        <v>342.09</v>
      </c>
      <c r="M335" s="14" t="s">
        <v>193</v>
      </c>
      <c r="N335" s="14"/>
    </row>
    <row r="336" spans="1:14" ht="15" customHeight="1" x14ac:dyDescent="0.2">
      <c r="A336" s="3" t="s">
        <v>314</v>
      </c>
      <c r="B336" s="4">
        <v>83</v>
      </c>
      <c r="C336" s="3" t="s">
        <v>5</v>
      </c>
      <c r="D336" s="3" t="s">
        <v>195</v>
      </c>
      <c r="E336" s="3" t="s">
        <v>357</v>
      </c>
      <c r="F336" s="3" t="s">
        <v>356</v>
      </c>
      <c r="G336" s="5">
        <v>3080.16</v>
      </c>
      <c r="H336" s="4">
        <v>83</v>
      </c>
      <c r="I336" s="5">
        <v>0</v>
      </c>
      <c r="J336" s="5">
        <v>0</v>
      </c>
      <c r="K336" s="5">
        <v>-0.56999999999999995</v>
      </c>
      <c r="L336" s="5">
        <v>341.52</v>
      </c>
      <c r="M336" s="21" t="s">
        <v>315</v>
      </c>
      <c r="N336" s="21"/>
    </row>
    <row r="337" spans="1:14" ht="15" customHeight="1" x14ac:dyDescent="0.2">
      <c r="A337" s="1" t="s">
        <v>316</v>
      </c>
      <c r="B337" s="6">
        <v>84</v>
      </c>
      <c r="C337" s="1" t="s">
        <v>5</v>
      </c>
      <c r="D337" s="1" t="s">
        <v>190</v>
      </c>
      <c r="E337" s="1" t="s">
        <v>355</v>
      </c>
      <c r="F337" s="1" t="s">
        <v>356</v>
      </c>
      <c r="G337" s="7">
        <v>3140.54</v>
      </c>
      <c r="H337" s="6">
        <v>84</v>
      </c>
      <c r="I337" s="7">
        <v>0</v>
      </c>
      <c r="J337" s="7">
        <v>0</v>
      </c>
      <c r="K337" s="7">
        <v>0</v>
      </c>
      <c r="L337" s="7">
        <v>341.52</v>
      </c>
      <c r="M337" s="14" t="s">
        <v>193</v>
      </c>
      <c r="N337" s="14"/>
    </row>
    <row r="338" spans="1:14" ht="15" customHeight="1" x14ac:dyDescent="0.2">
      <c r="A338" s="3" t="s">
        <v>317</v>
      </c>
      <c r="B338" s="4">
        <v>85</v>
      </c>
      <c r="C338" s="3" t="s">
        <v>5</v>
      </c>
      <c r="D338" s="3" t="s">
        <v>195</v>
      </c>
      <c r="E338" s="3" t="s">
        <v>357</v>
      </c>
      <c r="F338" s="3" t="s">
        <v>356</v>
      </c>
      <c r="G338" s="5">
        <v>3107.82</v>
      </c>
      <c r="H338" s="4">
        <v>85</v>
      </c>
      <c r="I338" s="5">
        <v>0</v>
      </c>
      <c r="J338" s="5">
        <v>0</v>
      </c>
      <c r="K338" s="5">
        <v>-0.65</v>
      </c>
      <c r="L338" s="5">
        <v>340.87</v>
      </c>
      <c r="M338" s="21" t="s">
        <v>318</v>
      </c>
      <c r="N338" s="21"/>
    </row>
    <row r="339" spans="1:14" ht="15" customHeight="1" x14ac:dyDescent="0.2">
      <c r="A339" s="1" t="s">
        <v>319</v>
      </c>
      <c r="B339" s="6">
        <v>86</v>
      </c>
      <c r="C339" s="1" t="s">
        <v>5</v>
      </c>
      <c r="D339" s="1" t="s">
        <v>190</v>
      </c>
      <c r="E339" s="1" t="s">
        <v>355</v>
      </c>
      <c r="F339" s="1" t="s">
        <v>356</v>
      </c>
      <c r="G339" s="7">
        <v>3092.02</v>
      </c>
      <c r="H339" s="6">
        <v>86</v>
      </c>
      <c r="I339" s="7">
        <v>0</v>
      </c>
      <c r="J339" s="7">
        <v>0</v>
      </c>
      <c r="K339" s="7">
        <v>0</v>
      </c>
      <c r="L339" s="7">
        <v>340.87</v>
      </c>
      <c r="M339" s="14" t="s">
        <v>193</v>
      </c>
      <c r="N339" s="14"/>
    </row>
    <row r="340" spans="1:14" ht="15" customHeight="1" x14ac:dyDescent="0.2">
      <c r="A340" s="3" t="s">
        <v>320</v>
      </c>
      <c r="B340" s="4">
        <v>87</v>
      </c>
      <c r="C340" s="3" t="s">
        <v>5</v>
      </c>
      <c r="D340" s="3" t="s">
        <v>195</v>
      </c>
      <c r="E340" s="3" t="s">
        <v>357</v>
      </c>
      <c r="F340" s="3" t="s">
        <v>356</v>
      </c>
      <c r="G340" s="5">
        <v>3055.89</v>
      </c>
      <c r="H340" s="4">
        <v>87</v>
      </c>
      <c r="I340" s="5">
        <v>0</v>
      </c>
      <c r="J340" s="5">
        <v>-0.05</v>
      </c>
      <c r="K340" s="5">
        <v>-0.72</v>
      </c>
      <c r="L340" s="5">
        <v>340.1</v>
      </c>
      <c r="M340" s="21" t="s">
        <v>321</v>
      </c>
      <c r="N340" s="21"/>
    </row>
    <row r="341" spans="1:14" ht="15" customHeight="1" x14ac:dyDescent="0.2">
      <c r="A341" s="1" t="s">
        <v>322</v>
      </c>
      <c r="B341" s="6">
        <v>88</v>
      </c>
      <c r="C341" s="1" t="s">
        <v>5</v>
      </c>
      <c r="D341" s="1" t="s">
        <v>190</v>
      </c>
      <c r="E341" s="1" t="s">
        <v>355</v>
      </c>
      <c r="F341" s="1" t="s">
        <v>356</v>
      </c>
      <c r="G341" s="7">
        <v>2244.56</v>
      </c>
      <c r="H341" s="6">
        <v>88</v>
      </c>
      <c r="I341" s="7">
        <v>0</v>
      </c>
      <c r="J341" s="7">
        <v>0</v>
      </c>
      <c r="K341" s="7">
        <v>0</v>
      </c>
      <c r="L341" s="7">
        <v>340.1</v>
      </c>
      <c r="M341" s="14" t="s">
        <v>193</v>
      </c>
      <c r="N341" s="14"/>
    </row>
    <row r="342" spans="1:14" ht="15" customHeight="1" x14ac:dyDescent="0.2">
      <c r="A342" s="3" t="s">
        <v>323</v>
      </c>
      <c r="B342" s="4">
        <v>89</v>
      </c>
      <c r="C342" s="3" t="s">
        <v>5</v>
      </c>
      <c r="D342" s="3" t="s">
        <v>195</v>
      </c>
      <c r="E342" s="3" t="s">
        <v>357</v>
      </c>
      <c r="F342" s="3" t="s">
        <v>356</v>
      </c>
      <c r="G342" s="5">
        <v>2199.9699999999998</v>
      </c>
      <c r="H342" s="4">
        <v>89</v>
      </c>
      <c r="I342" s="5">
        <v>0</v>
      </c>
      <c r="J342" s="5">
        <v>-0.02</v>
      </c>
      <c r="K342" s="5">
        <v>-0.89</v>
      </c>
      <c r="L342" s="5">
        <v>339.19</v>
      </c>
      <c r="M342" s="21" t="s">
        <v>324</v>
      </c>
      <c r="N342" s="21"/>
    </row>
    <row r="343" spans="1:14" ht="15" customHeight="1" x14ac:dyDescent="0.2">
      <c r="A343" s="1" t="s">
        <v>325</v>
      </c>
      <c r="B343" s="6">
        <v>90</v>
      </c>
      <c r="C343" s="1" t="s">
        <v>5</v>
      </c>
      <c r="D343" s="1" t="s">
        <v>190</v>
      </c>
      <c r="E343" s="1" t="s">
        <v>355</v>
      </c>
      <c r="F343" s="1" t="s">
        <v>356</v>
      </c>
      <c r="G343" s="7">
        <v>2185.2399999999998</v>
      </c>
      <c r="H343" s="6">
        <v>90</v>
      </c>
      <c r="I343" s="7">
        <v>0</v>
      </c>
      <c r="J343" s="7">
        <v>0</v>
      </c>
      <c r="K343" s="7">
        <v>0</v>
      </c>
      <c r="L343" s="7">
        <v>339.19</v>
      </c>
      <c r="M343" s="14" t="s">
        <v>193</v>
      </c>
      <c r="N343" s="14"/>
    </row>
    <row r="344" spans="1:14" ht="15" customHeight="1" x14ac:dyDescent="0.2">
      <c r="A344" s="3" t="s">
        <v>326</v>
      </c>
      <c r="B344" s="4">
        <v>91</v>
      </c>
      <c r="C344" s="3" t="s">
        <v>5</v>
      </c>
      <c r="D344" s="3" t="s">
        <v>195</v>
      </c>
      <c r="E344" s="3" t="s">
        <v>357</v>
      </c>
      <c r="F344" s="3" t="s">
        <v>356</v>
      </c>
      <c r="G344" s="5">
        <v>2151.35</v>
      </c>
      <c r="H344" s="4">
        <v>91</v>
      </c>
      <c r="I344" s="5">
        <v>0</v>
      </c>
      <c r="J344" s="5">
        <v>0</v>
      </c>
      <c r="K344" s="5">
        <v>-0.68</v>
      </c>
      <c r="L344" s="5">
        <v>338.51</v>
      </c>
      <c r="M344" s="21" t="s">
        <v>327</v>
      </c>
      <c r="N344" s="21"/>
    </row>
    <row r="345" spans="1:14" ht="15" customHeight="1" x14ac:dyDescent="0.2">
      <c r="A345" s="1" t="s">
        <v>328</v>
      </c>
      <c r="B345" s="6">
        <v>92</v>
      </c>
      <c r="C345" s="1" t="s">
        <v>5</v>
      </c>
      <c r="D345" s="1" t="s">
        <v>190</v>
      </c>
      <c r="E345" s="1" t="s">
        <v>355</v>
      </c>
      <c r="F345" s="1" t="s">
        <v>356</v>
      </c>
      <c r="G345" s="7">
        <v>2147.4899999999998</v>
      </c>
      <c r="H345" s="6">
        <v>92</v>
      </c>
      <c r="I345" s="7">
        <v>0</v>
      </c>
      <c r="J345" s="7">
        <v>0</v>
      </c>
      <c r="K345" s="7">
        <v>0</v>
      </c>
      <c r="L345" s="7">
        <v>338.51</v>
      </c>
      <c r="M345" s="14" t="s">
        <v>193</v>
      </c>
      <c r="N345" s="14"/>
    </row>
    <row r="346" spans="1:14" ht="15" customHeight="1" x14ac:dyDescent="0.2">
      <c r="A346" s="3" t="s">
        <v>329</v>
      </c>
      <c r="B346" s="4">
        <v>93</v>
      </c>
      <c r="C346" s="3" t="s">
        <v>5</v>
      </c>
      <c r="D346" s="3" t="s">
        <v>195</v>
      </c>
      <c r="E346" s="3" t="s">
        <v>357</v>
      </c>
      <c r="F346" s="3" t="s">
        <v>356</v>
      </c>
      <c r="G346" s="5">
        <v>2113.48</v>
      </c>
      <c r="H346" s="4">
        <v>93</v>
      </c>
      <c r="I346" s="5">
        <v>0</v>
      </c>
      <c r="J346" s="5">
        <v>-0.01</v>
      </c>
      <c r="K346" s="5">
        <v>-0.68</v>
      </c>
      <c r="L346" s="5">
        <v>337.82</v>
      </c>
      <c r="M346" s="21" t="s">
        <v>330</v>
      </c>
      <c r="N346" s="21"/>
    </row>
    <row r="347" spans="1:14" ht="15" customHeight="1" x14ac:dyDescent="0.2">
      <c r="A347" s="1" t="s">
        <v>331</v>
      </c>
      <c r="B347" s="6">
        <v>94</v>
      </c>
      <c r="C347" s="1" t="s">
        <v>5</v>
      </c>
      <c r="D347" s="1" t="s">
        <v>190</v>
      </c>
      <c r="E347" s="1" t="s">
        <v>355</v>
      </c>
      <c r="F347" s="1" t="s">
        <v>356</v>
      </c>
      <c r="G347" s="7">
        <v>2175.9</v>
      </c>
      <c r="H347" s="6">
        <v>94</v>
      </c>
      <c r="I347" s="7">
        <v>0</v>
      </c>
      <c r="J347" s="7">
        <v>0</v>
      </c>
      <c r="K347" s="7">
        <v>0</v>
      </c>
      <c r="L347" s="7">
        <v>337.82</v>
      </c>
      <c r="M347" s="14" t="s">
        <v>193</v>
      </c>
      <c r="N347" s="14"/>
    </row>
    <row r="348" spans="1:14" ht="15" customHeight="1" x14ac:dyDescent="0.2">
      <c r="A348" s="3" t="s">
        <v>332</v>
      </c>
      <c r="B348" s="4">
        <v>95</v>
      </c>
      <c r="C348" s="3" t="s">
        <v>5</v>
      </c>
      <c r="D348" s="3" t="s">
        <v>195</v>
      </c>
      <c r="E348" s="3" t="s">
        <v>357</v>
      </c>
      <c r="F348" s="3" t="s">
        <v>356</v>
      </c>
      <c r="G348" s="5">
        <v>2131.89</v>
      </c>
      <c r="H348" s="4">
        <v>95</v>
      </c>
      <c r="I348" s="5">
        <v>0</v>
      </c>
      <c r="J348" s="5">
        <v>-0.01</v>
      </c>
      <c r="K348" s="5">
        <v>-0.88</v>
      </c>
      <c r="L348" s="5">
        <v>336.93</v>
      </c>
      <c r="M348" s="21" t="s">
        <v>333</v>
      </c>
      <c r="N348" s="21"/>
    </row>
    <row r="349" spans="1:14" ht="15" customHeight="1" x14ac:dyDescent="0.2">
      <c r="A349" s="1" t="s">
        <v>334</v>
      </c>
      <c r="B349" s="6">
        <v>96</v>
      </c>
      <c r="C349" s="1" t="s">
        <v>5</v>
      </c>
      <c r="D349" s="1" t="s">
        <v>190</v>
      </c>
      <c r="E349" s="1" t="s">
        <v>355</v>
      </c>
      <c r="F349" s="1" t="s">
        <v>356</v>
      </c>
      <c r="G349" s="7">
        <v>2135.6799999999998</v>
      </c>
      <c r="H349" s="6">
        <v>96</v>
      </c>
      <c r="I349" s="7">
        <v>0</v>
      </c>
      <c r="J349" s="7">
        <v>0</v>
      </c>
      <c r="K349" s="7">
        <v>0</v>
      </c>
      <c r="L349" s="7">
        <v>336.93</v>
      </c>
      <c r="M349" s="14" t="s">
        <v>193</v>
      </c>
      <c r="N349" s="14"/>
    </row>
    <row r="350" spans="1:14" ht="15" customHeight="1" x14ac:dyDescent="0.2">
      <c r="A350" s="3" t="s">
        <v>335</v>
      </c>
      <c r="B350" s="4">
        <v>97</v>
      </c>
      <c r="C350" s="3" t="s">
        <v>5</v>
      </c>
      <c r="D350" s="3" t="s">
        <v>195</v>
      </c>
      <c r="E350" s="3" t="s">
        <v>357</v>
      </c>
      <c r="F350" s="3" t="s">
        <v>356</v>
      </c>
      <c r="G350" s="5">
        <v>2086.08</v>
      </c>
      <c r="H350" s="4">
        <v>97</v>
      </c>
      <c r="I350" s="5">
        <v>0</v>
      </c>
      <c r="J350" s="5">
        <v>-0.01</v>
      </c>
      <c r="K350" s="5">
        <v>-0.99</v>
      </c>
      <c r="L350" s="5">
        <v>335.93</v>
      </c>
      <c r="M350" s="21" t="s">
        <v>336</v>
      </c>
      <c r="N350" s="21"/>
    </row>
    <row r="351" spans="1:14" ht="15" customHeight="1" x14ac:dyDescent="0.2">
      <c r="A351" s="1" t="s">
        <v>337</v>
      </c>
      <c r="B351" s="6">
        <v>98</v>
      </c>
      <c r="C351" s="1" t="s">
        <v>5</v>
      </c>
      <c r="D351" s="1" t="s">
        <v>190</v>
      </c>
      <c r="E351" s="1" t="s">
        <v>355</v>
      </c>
      <c r="F351" s="1" t="s">
        <v>356</v>
      </c>
      <c r="G351" s="7">
        <v>2204.5</v>
      </c>
      <c r="H351" s="6">
        <v>98</v>
      </c>
      <c r="I351" s="7">
        <v>0</v>
      </c>
      <c r="J351" s="7">
        <v>0</v>
      </c>
      <c r="K351" s="7">
        <v>0</v>
      </c>
      <c r="L351" s="7">
        <v>335.93</v>
      </c>
      <c r="M351" s="14" t="s">
        <v>193</v>
      </c>
      <c r="N351" s="14"/>
    </row>
    <row r="352" spans="1:14" ht="15" customHeight="1" x14ac:dyDescent="0.2">
      <c r="A352" s="3" t="s">
        <v>338</v>
      </c>
      <c r="B352" s="4">
        <v>99</v>
      </c>
      <c r="C352" s="3" t="s">
        <v>5</v>
      </c>
      <c r="D352" s="3" t="s">
        <v>195</v>
      </c>
      <c r="E352" s="3" t="s">
        <v>357</v>
      </c>
      <c r="F352" s="3" t="s">
        <v>356</v>
      </c>
      <c r="G352" s="5">
        <v>2165.88</v>
      </c>
      <c r="H352" s="4">
        <v>99</v>
      </c>
      <c r="I352" s="5">
        <v>0</v>
      </c>
      <c r="J352" s="5">
        <v>-0.01</v>
      </c>
      <c r="K352" s="5">
        <v>-0.77</v>
      </c>
      <c r="L352" s="5">
        <v>335.15</v>
      </c>
      <c r="M352" s="21" t="s">
        <v>339</v>
      </c>
      <c r="N352" s="21"/>
    </row>
    <row r="353" spans="1:14" ht="15" customHeight="1" x14ac:dyDescent="0.2">
      <c r="A353" s="1" t="s">
        <v>340</v>
      </c>
      <c r="B353" s="6">
        <v>100</v>
      </c>
      <c r="C353" s="1" t="s">
        <v>5</v>
      </c>
      <c r="D353" s="1" t="s">
        <v>190</v>
      </c>
      <c r="E353" s="1" t="s">
        <v>355</v>
      </c>
      <c r="F353" s="1" t="s">
        <v>356</v>
      </c>
      <c r="G353" s="7">
        <v>2280.9699999999998</v>
      </c>
      <c r="H353" s="6">
        <v>100</v>
      </c>
      <c r="I353" s="7">
        <v>0</v>
      </c>
      <c r="J353" s="7">
        <v>0</v>
      </c>
      <c r="K353" s="7">
        <v>0</v>
      </c>
      <c r="L353" s="7">
        <v>335.15</v>
      </c>
      <c r="M353" s="14" t="s">
        <v>193</v>
      </c>
      <c r="N353" s="14"/>
    </row>
    <row r="354" spans="1:14" ht="15" customHeight="1" x14ac:dyDescent="0.2">
      <c r="A354" s="3" t="s">
        <v>341</v>
      </c>
      <c r="B354" s="4">
        <v>101</v>
      </c>
      <c r="C354" s="3" t="s">
        <v>5</v>
      </c>
      <c r="D354" s="3" t="s">
        <v>195</v>
      </c>
      <c r="E354" s="3" t="s">
        <v>357</v>
      </c>
      <c r="F354" s="3" t="s">
        <v>356</v>
      </c>
      <c r="G354" s="5">
        <v>2242.8000000000002</v>
      </c>
      <c r="H354" s="4">
        <v>101</v>
      </c>
      <c r="I354" s="5">
        <v>0</v>
      </c>
      <c r="J354" s="5">
        <v>0</v>
      </c>
      <c r="K354" s="5">
        <v>-0.76</v>
      </c>
      <c r="L354" s="5">
        <v>334.39</v>
      </c>
      <c r="M354" s="21" t="s">
        <v>342</v>
      </c>
      <c r="N354" s="21"/>
    </row>
    <row r="355" spans="1:14" ht="15" customHeight="1" x14ac:dyDescent="0.2">
      <c r="A355" s="1" t="s">
        <v>343</v>
      </c>
      <c r="B355" s="6">
        <v>102</v>
      </c>
      <c r="C355" s="1" t="s">
        <v>5</v>
      </c>
      <c r="D355" s="1" t="s">
        <v>190</v>
      </c>
      <c r="E355" s="1" t="s">
        <v>355</v>
      </c>
      <c r="F355" s="1" t="s">
        <v>356</v>
      </c>
      <c r="G355" s="7">
        <v>2190.7800000000002</v>
      </c>
      <c r="H355" s="6">
        <v>102</v>
      </c>
      <c r="I355" s="7">
        <v>0</v>
      </c>
      <c r="J355" s="7">
        <v>0</v>
      </c>
      <c r="K355" s="7">
        <v>0</v>
      </c>
      <c r="L355" s="7">
        <v>334.39</v>
      </c>
      <c r="M355" s="14" t="s">
        <v>193</v>
      </c>
      <c r="N355" s="14"/>
    </row>
    <row r="356" spans="1:14" ht="15" customHeight="1" x14ac:dyDescent="0.2">
      <c r="A356" s="3" t="s">
        <v>344</v>
      </c>
      <c r="B356" s="4">
        <v>103</v>
      </c>
      <c r="C356" s="3" t="s">
        <v>5</v>
      </c>
      <c r="D356" s="3" t="s">
        <v>195</v>
      </c>
      <c r="E356" s="3" t="s">
        <v>357</v>
      </c>
      <c r="F356" s="3" t="s">
        <v>356</v>
      </c>
      <c r="G356" s="5">
        <v>2238.91</v>
      </c>
      <c r="H356" s="4">
        <v>103</v>
      </c>
      <c r="I356" s="5">
        <v>0</v>
      </c>
      <c r="J356" s="5">
        <v>-0.12</v>
      </c>
      <c r="K356" s="5">
        <v>0.96</v>
      </c>
      <c r="L356" s="5">
        <v>335.23</v>
      </c>
      <c r="M356" s="21" t="s">
        <v>345</v>
      </c>
      <c r="N356" s="21"/>
    </row>
    <row r="357" spans="1:14" ht="20.100000000000001" customHeight="1" x14ac:dyDescent="0.2">
      <c r="A357" s="23"/>
      <c r="B357" s="23"/>
      <c r="C357" s="23"/>
      <c r="D357" s="23"/>
      <c r="E357" s="23"/>
      <c r="F357" s="23"/>
      <c r="G357" s="23"/>
      <c r="H357" s="23"/>
      <c r="I357" s="8">
        <f>SUM(Sheet1!I254:I356)</f>
        <v>0</v>
      </c>
      <c r="J357" s="8">
        <f>SUM(Sheet1!J254:J356)</f>
        <v>-1.85</v>
      </c>
      <c r="K357" s="8">
        <v>37.08</v>
      </c>
      <c r="L357" s="8">
        <v>335.23</v>
      </c>
      <c r="M357" s="23"/>
      <c r="N357" s="23"/>
    </row>
  </sheetData>
  <mergeCells count="621">
    <mergeCell ref="M354:N354"/>
    <mergeCell ref="M355:N355"/>
    <mergeCell ref="M356:N356"/>
    <mergeCell ref="A357:H357"/>
    <mergeCell ref="M357:N357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E250:F250"/>
    <mergeCell ref="J250:K250"/>
    <mergeCell ref="M250:N250"/>
    <mergeCell ref="E251:F251"/>
    <mergeCell ref="J251:K251"/>
    <mergeCell ref="M251:N251"/>
    <mergeCell ref="A252:N252"/>
    <mergeCell ref="M253:N253"/>
    <mergeCell ref="M254:N254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25:G125"/>
    <mergeCell ref="H125"/>
    <mergeCell ref="I125:K125"/>
    <mergeCell ref="L125:N125"/>
    <mergeCell ref="A148:N148"/>
    <mergeCell ref="E149:F149"/>
    <mergeCell ref="J149:K149"/>
    <mergeCell ref="M149:N149"/>
    <mergeCell ref="E150:F150"/>
    <mergeCell ref="J150:K150"/>
    <mergeCell ref="M150:N150"/>
    <mergeCell ref="E122:G122"/>
    <mergeCell ref="H122"/>
    <mergeCell ref="I122:K122"/>
    <mergeCell ref="L122:N122"/>
    <mergeCell ref="E123:G123"/>
    <mergeCell ref="H123"/>
    <mergeCell ref="I123:K123"/>
    <mergeCell ref="L123:N123"/>
    <mergeCell ref="E124:G124"/>
    <mergeCell ref="H124"/>
    <mergeCell ref="I124:K124"/>
    <mergeCell ref="L124:N124"/>
    <mergeCell ref="A120:C120"/>
    <mergeCell ref="D120"/>
    <mergeCell ref="E120:G120"/>
    <mergeCell ref="H120"/>
    <mergeCell ref="I120:K120"/>
    <mergeCell ref="L120:N120"/>
    <mergeCell ref="E121:G121"/>
    <mergeCell ref="H121"/>
    <mergeCell ref="I121:K121"/>
    <mergeCell ref="L121:N121"/>
    <mergeCell ref="L116:N116"/>
    <mergeCell ref="A117:C117"/>
    <mergeCell ref="D117"/>
    <mergeCell ref="E117:G117"/>
    <mergeCell ref="H117"/>
    <mergeCell ref="I117:K117"/>
    <mergeCell ref="L117:N117"/>
    <mergeCell ref="A119:C119"/>
    <mergeCell ref="D119"/>
    <mergeCell ref="E119:G119"/>
    <mergeCell ref="H119"/>
    <mergeCell ref="I119:K119"/>
    <mergeCell ref="L119:N119"/>
    <mergeCell ref="A114:C114"/>
    <mergeCell ref="D114"/>
    <mergeCell ref="E114:G114"/>
    <mergeCell ref="H114"/>
    <mergeCell ref="A116:C116"/>
    <mergeCell ref="D116"/>
    <mergeCell ref="E116:G116"/>
    <mergeCell ref="H116"/>
    <mergeCell ref="I116:K116"/>
    <mergeCell ref="A112:C112"/>
    <mergeCell ref="D112"/>
    <mergeCell ref="E112:G112"/>
    <mergeCell ref="H112"/>
    <mergeCell ref="I112:K112"/>
    <mergeCell ref="L112:N112"/>
    <mergeCell ref="A113:C113"/>
    <mergeCell ref="D113"/>
    <mergeCell ref="E113:G113"/>
    <mergeCell ref="H113"/>
    <mergeCell ref="I113:K113"/>
    <mergeCell ref="L113:N113"/>
    <mergeCell ref="A109:C109"/>
    <mergeCell ref="D109"/>
    <mergeCell ref="E109:G109"/>
    <mergeCell ref="H109"/>
    <mergeCell ref="I109:K109"/>
    <mergeCell ref="L109:N109"/>
    <mergeCell ref="A111:C111"/>
    <mergeCell ref="D111"/>
    <mergeCell ref="E111:G111"/>
    <mergeCell ref="H111"/>
    <mergeCell ref="I111:K111"/>
    <mergeCell ref="L111:N111"/>
    <mergeCell ref="A107:C107"/>
    <mergeCell ref="D107"/>
    <mergeCell ref="E107:G107"/>
    <mergeCell ref="H107"/>
    <mergeCell ref="I107:K107"/>
    <mergeCell ref="L107:N107"/>
    <mergeCell ref="A108:C108"/>
    <mergeCell ref="D108"/>
    <mergeCell ref="E108:G108"/>
    <mergeCell ref="H108"/>
    <mergeCell ref="I108:K108"/>
    <mergeCell ref="L108:N108"/>
    <mergeCell ref="A103:C103"/>
    <mergeCell ref="D103:N103"/>
    <mergeCell ref="A104:N104"/>
    <mergeCell ref="A105:C105"/>
    <mergeCell ref="D105"/>
    <mergeCell ref="A106:C106"/>
    <mergeCell ref="D106"/>
    <mergeCell ref="E106:G106"/>
    <mergeCell ref="H106"/>
    <mergeCell ref="I106:K106"/>
    <mergeCell ref="L106:N106"/>
    <mergeCell ref="D96:N96"/>
    <mergeCell ref="D97:N97"/>
    <mergeCell ref="D98:N98"/>
    <mergeCell ref="D99:N99"/>
    <mergeCell ref="A100:C100"/>
    <mergeCell ref="D100:N100"/>
    <mergeCell ref="A101:C101"/>
    <mergeCell ref="D101:N101"/>
    <mergeCell ref="A102:C102"/>
    <mergeCell ref="D102:N102"/>
    <mergeCell ref="D87:N87"/>
    <mergeCell ref="D88:N88"/>
    <mergeCell ref="D89:N89"/>
    <mergeCell ref="D90:N90"/>
    <mergeCell ref="D91:N91"/>
    <mergeCell ref="D92:N92"/>
    <mergeCell ref="D93:N93"/>
    <mergeCell ref="D94:N94"/>
    <mergeCell ref="D95:N95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2026-06-25T12:52:00Z</dcterms:created>
  <dcterms:modified xsi:type="dcterms:W3CDTF">2026-09-11T08:18:49Z</dcterms:modified>
  <cp:category>Reports</cp:category>
</cp:coreProperties>
</file>