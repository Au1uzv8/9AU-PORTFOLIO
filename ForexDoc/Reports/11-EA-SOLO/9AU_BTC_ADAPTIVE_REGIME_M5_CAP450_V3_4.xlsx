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7d1a9c3b931657/1Drive-Documents/MQL5/ACTIVE_MQ5/EXCEL 11 EA SOLO/"/>
    </mc:Choice>
  </mc:AlternateContent>
  <xr:revisionPtr revIDLastSave="0" documentId="13_ncr:1_{691818C5-2B5F-4669-AA4E-2940BB987C2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6" i="1" l="1"/>
  <c r="I276" i="1"/>
</calcChain>
</file>

<file path=xl/sharedStrings.xml><?xml version="1.0" encoding="utf-8"?>
<sst xmlns="http://schemas.openxmlformats.org/spreadsheetml/2006/main" count="957" uniqueCount="295">
  <si>
    <t>Strategy Tester Report</t>
  </si>
  <si>
    <t>XMGlobal-MT5 7 (Build 6090)</t>
  </si>
  <si>
    <t>Settings</t>
  </si>
  <si>
    <t>Expert:</t>
  </si>
  <si>
    <t>9AU_BTC_ADAPTIVE_REGIME_M5_CAP450_V3_4</t>
  </si>
  <si>
    <t>Symbol:</t>
  </si>
  <si>
    <t>BTCUSD#</t>
  </si>
  <si>
    <t>Period:</t>
  </si>
  <si>
    <t>M5 (2024.12.01 - 2026.07.15)</t>
  </si>
  <si>
    <t>Inputs:</t>
  </si>
  <si>
    <t>InpMagicNumber=919295</t>
  </si>
  <si>
    <t>=== Step A: Filter (Buy) ====</t>
  </si>
  <si>
    <t>InpTrendEMA=200</t>
  </si>
  <si>
    <t>InpFilterTF=16388</t>
  </si>
  <si>
    <t>InpRSIPeriod=14</t>
  </si>
  <si>
    <t>InpRSILowerLevel=42.0</t>
  </si>
  <si>
    <t>InpRSIUpperLevel=68.0</t>
  </si>
  <si>
    <t>=== Step B: Buy Grid &amp; Lot ====</t>
  </si>
  <si>
    <t>InpEnableDynamicGrid=true</t>
  </si>
  <si>
    <t>InpATRPeriod=14</t>
  </si>
  <si>
    <t>InpVolRegimeThresh=1.3</t>
  </si>
  <si>
    <t>InpATRMultiplier_LowVol=6.0</t>
  </si>
  <si>
    <t>InpATRMultiplier_HighVol=12.0</t>
  </si>
  <si>
    <t>InpInitialLot=0.01</t>
  </si>
  <si>
    <t>InpBaseMultiplier=1.15</t>
  </si>
  <si>
    <t>InpReductionStep=0.05</t>
  </si>
  <si>
    <t>InpMinMultiplier=1.05</t>
  </si>
  <si>
    <t>InpMaxOrders=3</t>
  </si>
  <si>
    <t>=== Step B2: Sell Grid (Conservative) ====</t>
  </si>
  <si>
    <t>InpEnableSell=false</t>
  </si>
  <si>
    <t>InpSellInitialLot=0.01</t>
  </si>
  <si>
    <t>InpSellATRMultiplier=9.75</t>
  </si>
  <si>
    <t>InpSellBaseMultiplier=1.05</t>
  </si>
  <si>
    <t>InpSellReductionStep=0.02</t>
  </si>
  <si>
    <t>InpSellMinMultiplier=1.02</t>
  </si>
  <si>
    <t>InpSellMaxOrders=5</t>
  </si>
  <si>
    <t>InpSellBasketTP=30.0</t>
  </si>
  <si>
    <t>InpSellHardSLMultiplier=2.5</t>
  </si>
  <si>
    <t>InpSellTrailStartUSD=12.0</t>
  </si>
  <si>
    <t>InpSellTrailStepATR=1.5</t>
  </si>
  <si>
    <t>=== Step I: Sell Regime Filter ====</t>
  </si>
  <si>
    <t>InpADXPeriod=14</t>
  </si>
  <si>
    <t>InpADXTrendHigh=28.0</t>
  </si>
  <si>
    <t>InpEMA50Period=50</t>
  </si>
  <si>
    <t>InpEMASlopeATRMult=0.08</t>
  </si>
  <si>
    <t>InpEMASlopeLookback=20</t>
  </si>
  <si>
    <t>InpRSITrendLow=43.0</t>
  </si>
  <si>
    <t>InpRSITrendHigh=57.0</t>
  </si>
  <si>
    <t>InpSellMinATRMult=0.9</t>
  </si>
  <si>
    <t>InpAvgATRPeriod=50</t>
  </si>
  <si>
    <t>InpResistLookback=96</t>
  </si>
  <si>
    <t>InpResistBuffer=0.003</t>
  </si>
  <si>
    <t>=== Step C: Profit &amp; Exit ====</t>
  </si>
  <si>
    <t>InpBasketTP=35.0</t>
  </si>
  <si>
    <t>InpEnablePartialClose=true</t>
  </si>
  <si>
    <t>InpPartialCloseLevel=0.7</t>
  </si>
  <si>
    <t>InpHardSLMultiplier=7.0</t>
  </si>
  <si>
    <t>InpMinHoldBars=12</t>
  </si>
  <si>
    <t>InpEnableTimedTP=false</t>
  </si>
  <si>
    <t>InpTimedTP_Days=30</t>
  </si>
  <si>
    <t>InpTimedTP_MinProfit=15.0</t>
  </si>
  <si>
    <t>=== Step D: News Filter ====</t>
  </si>
  <si>
    <t>EnableNewsFilter=true</t>
  </si>
  <si>
    <t>NewsBeforeMinutes=60</t>
  </si>
  <si>
    <t>NewsAfterMinutes=60</t>
  </si>
  <si>
    <t>NewsHighImpactOnly=true</t>
  </si>
  <si>
    <t>=== Step E: Safety &amp; Protection ====</t>
  </si>
  <si>
    <t>InpEnableEquityStop=true</t>
  </si>
  <si>
    <t>InpMaxDrawdownPercent=25.0</t>
  </si>
  <si>
    <t>InpTrailStartUSD=18.0</t>
  </si>
  <si>
    <t>InpTrailStep_Short=2.5</t>
  </si>
  <si>
    <t>InpTrailStep_Mid=1.5</t>
  </si>
  <si>
    <t>InpTrailStep_Long=0.8</t>
  </si>
  <si>
    <t>InpTrailDays_Short=3</t>
  </si>
  <si>
    <t>InpTrailDays_Long=14</t>
  </si>
  <si>
    <t>InpTrailStepATR=2.5</t>
  </si>
  <si>
    <t>InpMaxHoldDays=60</t>
  </si>
  <si>
    <t>InpMinATRThreshold=3.5</t>
  </si>
  <si>
    <t>InpMaxSpreadBase=2250.0</t>
  </si>
  <si>
    <t>InpMaxSpreadHighVol=2990.0</t>
  </si>
  <si>
    <t>InpMaxExposurePercent=12.5</t>
  </si>
  <si>
    <t>InpMinMarginLevel=700.0</t>
  </si>
  <si>
    <t>=== Step F: Time Filter ====</t>
  </si>
  <si>
    <t>EnableTimeFilter=false</t>
  </si>
  <si>
    <t>TradingStartHour=6</t>
  </si>
  <si>
    <t>TradingEndHour=2</t>
  </si>
  <si>
    <t>StopFridayAfterClose=true</t>
  </si>
  <si>
    <t>FridayCloseHour=18</t>
  </si>
  <si>
    <t>=== Step G: Daily Loss Limit ====</t>
  </si>
  <si>
    <t>EnableDailyLossLimit=true</t>
  </si>
  <si>
    <t>MaxDailyLossPercent=2.25</t>
  </si>
  <si>
    <t>InpDailyLossCloseAllPercent=5.0</t>
  </si>
  <si>
    <t>=== Step H: Telegram Notify ====</t>
  </si>
  <si>
    <t>InpEnableTelegram=true</t>
  </si>
  <si>
    <t>InpToken=8663985469:AAGo473sGCgrWBhKNFLz6p-LGe86ftDvxZE</t>
  </si>
  <si>
    <t>InpChatID=8053031320</t>
  </si>
  <si>
    <t>InpTelegramDDAlert=15.0</t>
  </si>
  <si>
    <t>InpEnable2xAlert=true</t>
  </si>
  <si>
    <t>InpBaseBalance=300.0</t>
  </si>
  <si>
    <t>=== Step L: House Money &amp; Compound ====</t>
  </si>
  <si>
    <t>InpEnableHouseMoney=true</t>
  </si>
  <si>
    <t>InpHouseMoneyTarget=2.0</t>
  </si>
  <si>
    <t>InpEnableCompound=false</t>
  </si>
  <si>
    <t>InpCompoundStartMultiple=1.5</t>
  </si>
  <si>
    <t>InpCompoundMaxLot=0.1</t>
  </si>
  <si>
    <t>InpCompoundDailyLossClose=3.0</t>
  </si>
  <si>
    <t>InpCompoundDDSoftBrake=20.0</t>
  </si>
  <si>
    <t>InpCompoundMaxDD=28.0</t>
  </si>
  <si>
    <t>=== Step J: Diagnostic ====</t>
  </si>
  <si>
    <t>InpDiagnosticLog=true</t>
  </si>
  <si>
    <t>Company:</t>
  </si>
  <si>
    <t>XM Global Limited</t>
  </si>
  <si>
    <t>Currency:</t>
  </si>
  <si>
    <t>USD</t>
  </si>
  <si>
    <t>Initial Deposit:</t>
  </si>
  <si>
    <t>Leverage:</t>
  </si>
  <si>
    <t>1:1000</t>
  </si>
  <si>
    <t>Results</t>
  </si>
  <si>
    <t>History Quality:</t>
  </si>
  <si>
    <t>100% real ticks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</si>
  <si>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</si>
  <si>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</si>
  <si>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</si>
  <si>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</si>
  <si>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</si>
  <si>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</si>
  <si>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</si>
  <si>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</si>
  <si>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78.06 (23.76%)</t>
  </si>
  <si>
    <t>Equity Drawdown Maximal:</t>
  </si>
  <si>
    <t>82.79 (24.84%)</t>
  </si>
  <si>
    <t>Gross Loss:</t>
  </si>
  <si>
    <t>Balance Drawdown Relative:</t>
  </si>
  <si>
    <t>23.76% (78.06)</t>
  </si>
  <si>
    <t>Equity Drawdown Relative:</t>
  </si>
  <si>
    <t>24.84% (82.79)</t>
  </si>
  <si>
    <t>Profit Factor:</t>
  </si>
  <si>
    <t>Expected Payoff:</t>
  </si>
  <si>
    <t>Margin Level:</t>
  </si>
  <si>
    <t>10219.93%</t>
  </si>
  <si>
    <t>Recovery Factor:</t>
  </si>
  <si>
    <t>Sharpe Ratio:</t>
  </si>
  <si>
    <t>Z-Score:</t>
  </si>
  <si>
    <t>-1.77 (92.33%)</t>
  </si>
  <si>
    <t>AHPR:</t>
  </si>
  <si>
    <t>0.9943 (-0.57%)</t>
  </si>
  <si>
    <t>LR Correlation:</t>
  </si>
  <si>
    <t>OnTester result:</t>
  </si>
  <si>
    <t>0</t>
  </si>
  <si>
    <t>GHPR:</t>
  </si>
  <si>
    <t>0.9938 (-0.62%)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</si>
  <si>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</si>
  <si>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</si>
  <si>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</si>
  <si>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</si>
  <si>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</si>
  <si>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0:25:16</t>
  </si>
  <si>
    <t>Maximal position holding time:</t>
  </si>
  <si>
    <t>44:44:53</t>
  </si>
  <si>
    <t>Average position holding time:</t>
  </si>
  <si>
    <t>12:07:45</t>
  </si>
  <si>
    <t>Total Trades:</t>
  </si>
  <si>
    <t>Short Trades (won %):</t>
  </si>
  <si>
    <t>0 (0.00%)</t>
  </si>
  <si>
    <t>Long Trades (won %):</t>
  </si>
  <si>
    <t>29 (20.69%)</t>
  </si>
  <si>
    <t>Total Deals:</t>
  </si>
  <si>
    <t>Profit Trades (% of total):</t>
  </si>
  <si>
    <t>6 (20.69%)</t>
  </si>
  <si>
    <t>Loss Trades (% of total):</t>
  </si>
  <si>
    <t>23 (79.31%)</t>
  </si>
  <si>
    <t>Largest profit trade:</t>
  </si>
  <si>
    <t>Largest loss trade:</t>
  </si>
  <si>
    <t>Average profit trade:</t>
  </si>
  <si>
    <t>Average loss trade:</t>
  </si>
  <si>
    <t>Maximum consecutive wins ($):</t>
  </si>
  <si>
    <t>3 (47.36)</t>
  </si>
  <si>
    <t>Maximum consecutive losses ($):</t>
  </si>
  <si>
    <t>10 (-53.80)</t>
  </si>
  <si>
    <t>Maximal consecutive profit (count):</t>
  </si>
  <si>
    <t>47.36 (3)</t>
  </si>
  <si>
    <t>Maximal consecutive loss (count):</t>
  </si>
  <si>
    <t>-60.35 (9)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</si>
  <si>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</si>
  <si>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</si>
  <si>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</si>
  <si>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</si>
  <si>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</si>
  <si>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</si>
  <si>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</si>
  <si>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</si>
  <si>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</si>
  <si>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</si>
  <si>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</si>
  <si>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</si>
  <si>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</si>
  <si>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</si>
  <si>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2025.10.27 14:10:01</t>
  </si>
  <si>
    <t>buy</t>
  </si>
  <si>
    <t>0.01 / 0.01</t>
  </si>
  <si>
    <t>filled</t>
  </si>
  <si>
    <t>9AU_BTC_BUY</t>
  </si>
  <si>
    <t>2025.10.27 22:56:29</t>
  </si>
  <si>
    <t>sell</t>
  </si>
  <si>
    <t>sl 114405.18</t>
  </si>
  <si>
    <t>2025.10.28 00:00:07</t>
  </si>
  <si>
    <t>2025.10.28 22:04:48</t>
  </si>
  <si>
    <t>sl 113263.73</t>
  </si>
  <si>
    <t>2026.01.02 20:50:01</t>
  </si>
  <si>
    <t>2026.01.04 08:33:23</t>
  </si>
  <si>
    <t>sl 91519.24</t>
  </si>
  <si>
    <t>2026.01.04 08:45:00</t>
  </si>
  <si>
    <t>2026.01.05 06:14:26</t>
  </si>
  <si>
    <t>sl 92781.46</t>
  </si>
  <si>
    <t>2026.01.05 06:25:03</t>
  </si>
  <si>
    <t>2026.01.05 22:35:07</t>
  </si>
  <si>
    <t>sl 94293.01</t>
  </si>
  <si>
    <t>2026.01.05 23:15:00</t>
  </si>
  <si>
    <t>2026.01.06 07:45:00</t>
  </si>
  <si>
    <t>2026.01.06 08:00:00</t>
  </si>
  <si>
    <t>2026.01.06 09:42:56</t>
  </si>
  <si>
    <t>sl 93233.93</t>
  </si>
  <si>
    <t>2026.01.06 09:46:14</t>
  </si>
  <si>
    <t>2026.01.07 02:40:03</t>
  </si>
  <si>
    <t>2026.01.07 03:20:08</t>
  </si>
  <si>
    <t>sl 92436.73</t>
  </si>
  <si>
    <t>2026.01.08 00:05:00</t>
  </si>
  <si>
    <t>2026.01.08 08:17:13</t>
  </si>
  <si>
    <t>sl 90297.95</t>
  </si>
  <si>
    <t>2026.01.08 08:20:00</t>
  </si>
  <si>
    <t>2026.01.08 16:26:29</t>
  </si>
  <si>
    <t>sl 89496.35</t>
  </si>
  <si>
    <t>2026.01.09 01:55:03</t>
  </si>
  <si>
    <t>2026.01.09 10:04:33</t>
  </si>
  <si>
    <t>sl 90546.95</t>
  </si>
  <si>
    <t>2026.01.09 10:05:01</t>
  </si>
  <si>
    <t>2026.01.09 10:48:05</t>
  </si>
  <si>
    <t>sl 89978.98</t>
  </si>
  <si>
    <t>2026.01.10 04:45:02</t>
  </si>
  <si>
    <t>2026.01.10 23:10:04</t>
  </si>
  <si>
    <t>2026.01.11 00:13:36</t>
  </si>
  <si>
    <t>sl 90392.30</t>
  </si>
  <si>
    <t>2026.01.12 01:04:01</t>
  </si>
  <si>
    <t>sl 90344.95</t>
  </si>
  <si>
    <t>2026.01.12 01:05:00</t>
  </si>
  <si>
    <t>2026.01.12 05:36:55</t>
  </si>
  <si>
    <t>sl 92049.53</t>
  </si>
  <si>
    <t>2026.01.12 08:30:00</t>
  </si>
  <si>
    <t>2026.01.12 09:45:40</t>
  </si>
  <si>
    <t>sl 91472.65</t>
  </si>
  <si>
    <t>2026.01.12 09:50:00</t>
  </si>
  <si>
    <t>2026.01.12 10:37:25</t>
  </si>
  <si>
    <t>sl 90771.43</t>
  </si>
  <si>
    <t>2026.01.12 10:40:00</t>
  </si>
  <si>
    <t>2026.01.13 17:02:30</t>
  </si>
  <si>
    <t>sl 92234.23</t>
  </si>
  <si>
    <t>2026.01.14 03:50:04</t>
  </si>
  <si>
    <t>2026.01.14 19:35:40</t>
  </si>
  <si>
    <t>sl 97054.66</t>
  </si>
  <si>
    <t>2026.01.14 20:35:00</t>
  </si>
  <si>
    <t>2026.01.16 17:19:53</t>
  </si>
  <si>
    <t>2026.01.17 03:40:02</t>
  </si>
  <si>
    <t>2026.01.17 08:20:02</t>
  </si>
  <si>
    <t>2026.01.17 08:25:00</t>
  </si>
  <si>
    <t>2026.01.17 09:01:55</t>
  </si>
  <si>
    <t>sl 95098.95</t>
  </si>
  <si>
    <t>2026.01.17 10:02:07</t>
  </si>
  <si>
    <t>sl 95020.90</t>
  </si>
  <si>
    <t>2026.01.18 03:05:35</t>
  </si>
  <si>
    <t>sl 95004.85</t>
  </si>
  <si>
    <t>2026.01.18 03:10:01</t>
  </si>
  <si>
    <t>2026.01.19 01:30:13</t>
  </si>
  <si>
    <t>sl 94527.25</t>
  </si>
  <si>
    <t>2026.01.19 01:35:01</t>
  </si>
  <si>
    <t>2026.01.19 02:00:17</t>
  </si>
  <si>
    <t>2026.01.20 00:00:01</t>
  </si>
  <si>
    <t>2026.01.20 00:59:40</t>
  </si>
  <si>
    <t>sl 92565.95</t>
  </si>
  <si>
    <t>2026.01.20 01:00:00</t>
  </si>
  <si>
    <t>2026.01.20 07:00:57</t>
  </si>
  <si>
    <t>sl 91813.20</t>
  </si>
  <si>
    <t>2026.03.04 22:55:00</t>
  </si>
  <si>
    <t>2026.03.05 07:58:17</t>
  </si>
  <si>
    <t>Deals</t>
  </si>
  <si>
    <t>Deal</t>
  </si>
  <si>
    <t>Direction</t>
  </si>
  <si>
    <t>Commission</t>
  </si>
  <si>
    <t>Swap</t>
  </si>
  <si>
    <t>Profit</t>
  </si>
  <si>
    <t>Balance</t>
  </si>
  <si>
    <t>2024.12.01 00:00:00</t>
  </si>
  <si>
    <t>balance</t>
  </si>
  <si>
    <t>in</t>
  </si>
  <si>
    <t>0.01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</si>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</sst>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165" fontId="4" fillId="5" borderId="0" xfId="0" applyNumberFormat="1" applyFont="1" applyFill="1" applyAlignment="1">
      <alignment horizontal="right" vertical="center"/>
    </xf>
    <xf numFmtId="164" fontId="4" fillId="5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5" borderId="0" xfId="0" applyNumberFormat="1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Sheet1!$A$217:$A$275</c:f>
              <c:strCache>
                <c:ptCount val="59"/>
                <c:pt idx="0">
                  <c:v>2024.12.01 00:00:00</c:v>
                </c:pt>
                <c:pt idx="1">
                  <c:v>2025.10.27 14:10:01</c:v>
                </c:pt>
                <c:pt idx="2">
                  <c:v>2025.10.27 22:56:29</c:v>
                </c:pt>
                <c:pt idx="3">
                  <c:v>2025.10.28 00:00:07</c:v>
                </c:pt>
                <c:pt idx="4">
                  <c:v>2025.10.28 22:04:48</c:v>
                </c:pt>
                <c:pt idx="5">
                  <c:v>2026.01.02 20:50:01</c:v>
                </c:pt>
                <c:pt idx="6">
                  <c:v>2026.01.04 08:33:23</c:v>
                </c:pt>
                <c:pt idx="7">
                  <c:v>2026.01.04 08:45:00</c:v>
                </c:pt>
                <c:pt idx="8">
                  <c:v>2026.01.05 06:14:26</c:v>
                </c:pt>
                <c:pt idx="9">
                  <c:v>2026.01.05 06:25:03</c:v>
                </c:pt>
                <c:pt idx="10">
                  <c:v>2026.01.05 22:35:07</c:v>
                </c:pt>
                <c:pt idx="11">
                  <c:v>2026.01.05 23:15:00</c:v>
                </c:pt>
                <c:pt idx="12">
                  <c:v>2026.01.06 07:45:00</c:v>
                </c:pt>
                <c:pt idx="13">
                  <c:v>2026.01.06 08:00:00</c:v>
                </c:pt>
                <c:pt idx="14">
                  <c:v>2026.01.06 09:42:56</c:v>
                </c:pt>
                <c:pt idx="15">
                  <c:v>2026.01.06 09:46:14</c:v>
                </c:pt>
                <c:pt idx="16">
                  <c:v>2026.01.06 09:46:14</c:v>
                </c:pt>
                <c:pt idx="17">
                  <c:v>2026.01.07 02:40:03</c:v>
                </c:pt>
                <c:pt idx="18">
                  <c:v>2026.01.07 03:20:08</c:v>
                </c:pt>
                <c:pt idx="19">
                  <c:v>2026.01.08 00:05:00</c:v>
                </c:pt>
                <c:pt idx="20">
                  <c:v>2026.01.08 08:17:13</c:v>
                </c:pt>
                <c:pt idx="21">
                  <c:v>2026.01.08 08:20:00</c:v>
                </c:pt>
                <c:pt idx="22">
                  <c:v>2026.01.08 16:26:29</c:v>
                </c:pt>
                <c:pt idx="23">
                  <c:v>2026.01.09 01:55:03</c:v>
                </c:pt>
                <c:pt idx="24">
                  <c:v>2026.01.09 10:04:33</c:v>
                </c:pt>
                <c:pt idx="25">
                  <c:v>2026.01.09 10:05:01</c:v>
                </c:pt>
                <c:pt idx="26">
                  <c:v>2026.01.09 10:48:05</c:v>
                </c:pt>
                <c:pt idx="27">
                  <c:v>2026.01.10 04:45:02</c:v>
                </c:pt>
                <c:pt idx="28">
                  <c:v>2026.01.10 23:10:04</c:v>
                </c:pt>
                <c:pt idx="29">
                  <c:v>2026.01.11 00:13:36</c:v>
                </c:pt>
                <c:pt idx="30">
                  <c:v>2026.01.12 01:04:01</c:v>
                </c:pt>
                <c:pt idx="31">
                  <c:v>2026.01.12 01:05:00</c:v>
                </c:pt>
                <c:pt idx="32">
                  <c:v>2026.01.12 05:36:55</c:v>
                </c:pt>
                <c:pt idx="33">
                  <c:v>2026.01.12 08:30:00</c:v>
                </c:pt>
                <c:pt idx="34">
                  <c:v>2026.01.12 09:45:40</c:v>
                </c:pt>
                <c:pt idx="35">
                  <c:v>2026.01.12 09:50:00</c:v>
                </c:pt>
                <c:pt idx="36">
                  <c:v>2026.01.12 10:37:25</c:v>
                </c:pt>
                <c:pt idx="37">
                  <c:v>2026.01.12 10:40:00</c:v>
                </c:pt>
                <c:pt idx="38">
                  <c:v>2026.01.13 17:02:30</c:v>
                </c:pt>
                <c:pt idx="39">
                  <c:v>2026.01.14 03:50:04</c:v>
                </c:pt>
                <c:pt idx="40">
                  <c:v>2026.01.14 19:35:40</c:v>
                </c:pt>
                <c:pt idx="41">
                  <c:v>2026.01.14 20:35:00</c:v>
                </c:pt>
                <c:pt idx="42">
                  <c:v>2026.01.16 17:19:53</c:v>
                </c:pt>
                <c:pt idx="43">
                  <c:v>2026.01.17 03:40:02</c:v>
                </c:pt>
                <c:pt idx="44">
                  <c:v>2026.01.17 08:20:02</c:v>
                </c:pt>
                <c:pt idx="45">
                  <c:v>2026.01.17 08:25:00</c:v>
                </c:pt>
                <c:pt idx="46">
                  <c:v>2026.01.17 09:01:55</c:v>
                </c:pt>
                <c:pt idx="47">
                  <c:v>2026.01.17 10:02:07</c:v>
                </c:pt>
                <c:pt idx="48">
                  <c:v>2026.01.18 03:05:35</c:v>
                </c:pt>
                <c:pt idx="49">
                  <c:v>2026.01.18 03:10:01</c:v>
                </c:pt>
                <c:pt idx="50">
                  <c:v>2026.01.19 01:30:13</c:v>
                </c:pt>
                <c:pt idx="51">
                  <c:v>2026.01.19 01:35:01</c:v>
                </c:pt>
                <c:pt idx="52">
                  <c:v>2026.01.19 02:00:17</c:v>
                </c:pt>
                <c:pt idx="53">
                  <c:v>2026.01.20 00:00:01</c:v>
                </c:pt>
                <c:pt idx="54">
                  <c:v>2026.01.20 00:59:40</c:v>
                </c:pt>
                <c:pt idx="55">
                  <c:v>2026.01.20 01:00:00</c:v>
                </c:pt>
                <c:pt idx="56">
                  <c:v>2026.01.20 07:00:57</c:v>
                </c:pt>
                <c:pt idx="57">
                  <c:v>2026.03.04 22:55:00</c:v>
                </c:pt>
                <c:pt idx="58">
                  <c:v>2026.03.05 07:58:17</c:v>
                </c:pt>
              </c:strCache>
            </c:strRef>
          </c:cat>
          <c:val>
            <c:numRef>
              <c:f>Sheet1!$L$217:$L$275</c:f>
              <c:numCache>
                <c:formatCode>#\ ##0.00;\-#\ ##0.00;0.00;</c:formatCode>
                <c:ptCount val="59"/>
                <c:pt idx="0">
                  <c:v>300</c:v>
                </c:pt>
                <c:pt idx="1">
                  <c:v>300</c:v>
                </c:pt>
                <c:pt idx="2">
                  <c:v>291.88</c:v>
                </c:pt>
                <c:pt idx="3">
                  <c:v>291.88</c:v>
                </c:pt>
                <c:pt idx="4">
                  <c:v>281.2</c:v>
                </c:pt>
                <c:pt idx="5">
                  <c:v>281.2</c:v>
                </c:pt>
                <c:pt idx="6">
                  <c:v>297.54000000000002</c:v>
                </c:pt>
                <c:pt idx="7">
                  <c:v>297.54000000000002</c:v>
                </c:pt>
                <c:pt idx="8">
                  <c:v>312.26</c:v>
                </c:pt>
                <c:pt idx="9">
                  <c:v>312.26</c:v>
                </c:pt>
                <c:pt idx="10">
                  <c:v>328.56</c:v>
                </c:pt>
                <c:pt idx="11">
                  <c:v>328.56</c:v>
                </c:pt>
                <c:pt idx="12">
                  <c:v>328.56</c:v>
                </c:pt>
                <c:pt idx="13">
                  <c:v>328.56</c:v>
                </c:pt>
                <c:pt idx="14">
                  <c:v>324.60000000000002</c:v>
                </c:pt>
                <c:pt idx="15">
                  <c:v>320.42</c:v>
                </c:pt>
                <c:pt idx="16">
                  <c:v>312.12</c:v>
                </c:pt>
                <c:pt idx="17">
                  <c:v>312.12</c:v>
                </c:pt>
                <c:pt idx="18">
                  <c:v>304.41000000000003</c:v>
                </c:pt>
                <c:pt idx="19">
                  <c:v>304.41000000000003</c:v>
                </c:pt>
                <c:pt idx="20">
                  <c:v>298.22000000000003</c:v>
                </c:pt>
                <c:pt idx="21">
                  <c:v>298.22000000000003</c:v>
                </c:pt>
                <c:pt idx="22">
                  <c:v>289.85000000000002</c:v>
                </c:pt>
                <c:pt idx="23">
                  <c:v>289.85000000000002</c:v>
                </c:pt>
                <c:pt idx="24">
                  <c:v>284.69</c:v>
                </c:pt>
                <c:pt idx="25">
                  <c:v>284.69</c:v>
                </c:pt>
                <c:pt idx="26">
                  <c:v>278.85000000000002</c:v>
                </c:pt>
                <c:pt idx="27">
                  <c:v>278.85000000000002</c:v>
                </c:pt>
                <c:pt idx="28">
                  <c:v>278.85000000000002</c:v>
                </c:pt>
                <c:pt idx="29">
                  <c:v>277.60000000000002</c:v>
                </c:pt>
                <c:pt idx="30">
                  <c:v>274.76</c:v>
                </c:pt>
                <c:pt idx="31">
                  <c:v>274.76</c:v>
                </c:pt>
                <c:pt idx="32">
                  <c:v>291.19</c:v>
                </c:pt>
                <c:pt idx="33">
                  <c:v>291.19</c:v>
                </c:pt>
                <c:pt idx="34">
                  <c:v>285.89</c:v>
                </c:pt>
                <c:pt idx="35">
                  <c:v>285.89</c:v>
                </c:pt>
                <c:pt idx="36">
                  <c:v>278.27999999999997</c:v>
                </c:pt>
                <c:pt idx="37">
                  <c:v>278.27999999999997</c:v>
                </c:pt>
                <c:pt idx="38">
                  <c:v>292.14</c:v>
                </c:pt>
                <c:pt idx="39">
                  <c:v>292.14</c:v>
                </c:pt>
                <c:pt idx="40">
                  <c:v>310.85000000000002</c:v>
                </c:pt>
                <c:pt idx="41">
                  <c:v>310.85000000000002</c:v>
                </c:pt>
                <c:pt idx="42">
                  <c:v>295.13</c:v>
                </c:pt>
                <c:pt idx="43">
                  <c:v>295.13</c:v>
                </c:pt>
                <c:pt idx="44">
                  <c:v>295.13</c:v>
                </c:pt>
                <c:pt idx="45">
                  <c:v>295.13</c:v>
                </c:pt>
                <c:pt idx="46">
                  <c:v>291.81</c:v>
                </c:pt>
                <c:pt idx="47">
                  <c:v>289.76</c:v>
                </c:pt>
                <c:pt idx="48">
                  <c:v>287.42</c:v>
                </c:pt>
                <c:pt idx="49">
                  <c:v>287.42</c:v>
                </c:pt>
                <c:pt idx="50">
                  <c:v>283.41000000000003</c:v>
                </c:pt>
                <c:pt idx="51">
                  <c:v>283.41000000000003</c:v>
                </c:pt>
                <c:pt idx="52">
                  <c:v>273.02999999999997</c:v>
                </c:pt>
                <c:pt idx="53">
                  <c:v>273.02999999999997</c:v>
                </c:pt>
                <c:pt idx="54">
                  <c:v>268.49</c:v>
                </c:pt>
                <c:pt idx="55">
                  <c:v>268.49</c:v>
                </c:pt>
                <c:pt idx="56">
                  <c:v>260.69</c:v>
                </c:pt>
                <c:pt idx="57">
                  <c:v>260.69</c:v>
                </c:pt>
                <c:pt idx="58">
                  <c:v>250.5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B3-46B1-899B-6D0B21499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361"/>
          <c:min val="225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133</xdr:row>
      <xdr:rowOff>0</xdr:rowOff>
    </xdr:from>
    <xdr:to>
      <xdr:col>13</xdr:col>
      <xdr:colOff>0</xdr:colOff>
      <xdr:row>153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"/>
  <sheetViews>
    <sheetView tabSelected="1" workbookViewId="0">
      <selection activeCell="D5" sqref="D5:N5"/>
    </sheetView>
  </sheetViews>
  <sheetFormatPr defaultRowHeight="15" customHeight="1" x14ac:dyDescent="0.2"/>
  <cols>
    <col min="1" max="1" width="13" bestFit="1" customWidth="1"/>
    <col min="2" max="2" width="7" bestFit="1" customWidth="1"/>
    <col min="3" max="3" width="9" bestFit="1" customWidth="1"/>
    <col min="4" max="4" width="12.5" customWidth="1"/>
    <col min="5" max="7" width="8" bestFit="1" customWidth="1"/>
    <col min="8" max="8" width="12.125" customWidth="1"/>
    <col min="9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15" customHeight="1" x14ac:dyDescent="0.2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24.95" customHeight="1" x14ac:dyDescent="0.2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ht="15" customHeight="1" x14ac:dyDescent="0.2">
      <c r="A4" s="10" t="s">
        <v>3</v>
      </c>
      <c r="B4" s="10"/>
      <c r="C4" s="10"/>
      <c r="D4" s="24" t="s">
        <v>4</v>
      </c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15" customHeight="1" x14ac:dyDescent="0.2">
      <c r="A5" s="10" t="s">
        <v>5</v>
      </c>
      <c r="B5" s="10"/>
      <c r="C5" s="10"/>
      <c r="D5" s="22" t="s">
        <v>6</v>
      </c>
      <c r="E5" s="22"/>
      <c r="F5" s="22"/>
      <c r="G5" s="22"/>
      <c r="H5" s="22"/>
      <c r="I5" s="22"/>
      <c r="J5" s="22"/>
      <c r="K5" s="22"/>
      <c r="L5" s="22"/>
      <c r="M5" s="22"/>
      <c r="N5" s="22"/>
    </row>
    <row r="6" spans="1:14" ht="15" customHeight="1" x14ac:dyDescent="0.2">
      <c r="A6" s="10" t="s">
        <v>7</v>
      </c>
      <c r="B6" s="10"/>
      <c r="C6" s="10"/>
      <c r="D6" s="24" t="s">
        <v>8</v>
      </c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15" customHeight="1" x14ac:dyDescent="0.2">
      <c r="A7" s="10" t="s">
        <v>9</v>
      </c>
      <c r="B7" s="10"/>
      <c r="C7" s="10"/>
      <c r="D7" s="22" t="s">
        <v>10</v>
      </c>
      <c r="E7" s="22"/>
      <c r="F7" s="22"/>
      <c r="G7" s="22"/>
      <c r="H7" s="22"/>
      <c r="I7" s="22"/>
      <c r="J7" s="22"/>
      <c r="K7" s="22"/>
      <c r="L7" s="22"/>
      <c r="M7" s="22"/>
      <c r="N7" s="22"/>
    </row>
    <row r="8" spans="1:14" ht="15" customHeight="1" x14ac:dyDescent="0.2">
      <c r="D8" s="22" t="s">
        <v>11</v>
      </c>
      <c r="E8" s="22"/>
      <c r="F8" s="22"/>
      <c r="G8" s="22"/>
      <c r="H8" s="22"/>
      <c r="I8" s="22"/>
      <c r="J8" s="22"/>
      <c r="K8" s="22"/>
      <c r="L8" s="22"/>
      <c r="M8" s="22"/>
      <c r="N8" s="22"/>
    </row>
    <row r="9" spans="1:14" ht="15" customHeight="1" x14ac:dyDescent="0.2">
      <c r="D9" s="22" t="s">
        <v>12</v>
      </c>
      <c r="E9" s="22"/>
      <c r="F9" s="22"/>
      <c r="G9" s="22"/>
      <c r="H9" s="22"/>
      <c r="I9" s="22"/>
      <c r="J9" s="22"/>
      <c r="K9" s="22"/>
      <c r="L9" s="22"/>
      <c r="M9" s="22"/>
      <c r="N9" s="22"/>
    </row>
    <row r="10" spans="1:14" ht="15" customHeight="1" x14ac:dyDescent="0.2">
      <c r="D10" s="22" t="s">
        <v>13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</row>
    <row r="11" spans="1:14" ht="15" customHeight="1" x14ac:dyDescent="0.2">
      <c r="D11" s="22" t="s">
        <v>14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</row>
    <row r="12" spans="1:14" ht="15" customHeight="1" x14ac:dyDescent="0.2">
      <c r="D12" s="22" t="s">
        <v>15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</row>
    <row r="13" spans="1:14" ht="15" customHeight="1" x14ac:dyDescent="0.2">
      <c r="D13" s="22" t="s">
        <v>16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</row>
    <row r="14" spans="1:14" ht="15" customHeight="1" x14ac:dyDescent="0.2">
      <c r="D14" s="22" t="s">
        <v>17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</row>
    <row r="15" spans="1:14" ht="15" customHeight="1" x14ac:dyDescent="0.2">
      <c r="D15" s="22" t="s">
        <v>18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1:14" ht="15" customHeight="1" x14ac:dyDescent="0.2">
      <c r="D16" s="22" t="s">
        <v>19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</row>
    <row r="17" spans="4:14" ht="15" customHeight="1" x14ac:dyDescent="0.2">
      <c r="D17" s="22" t="s">
        <v>20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</row>
    <row r="18" spans="4:14" ht="15" customHeight="1" x14ac:dyDescent="0.2">
      <c r="D18" s="22" t="s">
        <v>21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</row>
    <row r="19" spans="4:14" ht="15" customHeight="1" x14ac:dyDescent="0.2">
      <c r="D19" s="22" t="s">
        <v>22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</row>
    <row r="20" spans="4:14" ht="15" customHeight="1" x14ac:dyDescent="0.2">
      <c r="D20" s="22" t="s">
        <v>23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</row>
    <row r="21" spans="4:14" ht="15" customHeight="1" x14ac:dyDescent="0.2">
      <c r="D21" s="22" t="s">
        <v>24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</row>
    <row r="22" spans="4:14" ht="15" customHeight="1" x14ac:dyDescent="0.2">
      <c r="D22" s="22" t="s">
        <v>25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</row>
    <row r="23" spans="4:14" ht="15" customHeight="1" x14ac:dyDescent="0.2">
      <c r="D23" s="22" t="s">
        <v>26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</row>
    <row r="24" spans="4:14" ht="15" customHeight="1" x14ac:dyDescent="0.2">
      <c r="D24" s="22" t="s">
        <v>27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</row>
    <row r="25" spans="4:14" ht="15" customHeight="1" x14ac:dyDescent="0.2">
      <c r="D25" s="22" t="s">
        <v>28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4:14" ht="15" customHeight="1" x14ac:dyDescent="0.2">
      <c r="D26" s="22" t="s">
        <v>29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</row>
    <row r="27" spans="4:14" ht="15" customHeight="1" x14ac:dyDescent="0.2">
      <c r="D27" s="22" t="s">
        <v>30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</row>
    <row r="28" spans="4:14" ht="15" customHeight="1" x14ac:dyDescent="0.2">
      <c r="D28" s="22" t="s">
        <v>31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</row>
    <row r="29" spans="4:14" ht="15" customHeight="1" x14ac:dyDescent="0.2">
      <c r="D29" s="22" t="s">
        <v>32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</row>
    <row r="30" spans="4:14" ht="15" customHeight="1" x14ac:dyDescent="0.2">
      <c r="D30" s="22" t="s">
        <v>33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</row>
    <row r="31" spans="4:14" ht="15" customHeight="1" x14ac:dyDescent="0.2">
      <c r="D31" s="22" t="s">
        <v>34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</row>
    <row r="32" spans="4:14" ht="15" customHeight="1" x14ac:dyDescent="0.2">
      <c r="D32" s="22" t="s">
        <v>35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</row>
    <row r="33" spans="4:14" ht="15" customHeight="1" x14ac:dyDescent="0.2">
      <c r="D33" s="22" t="s">
        <v>36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</row>
    <row r="34" spans="4:14" ht="15" customHeight="1" x14ac:dyDescent="0.2">
      <c r="D34" s="22" t="s">
        <v>37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</row>
    <row r="35" spans="4:14" ht="15" customHeight="1" x14ac:dyDescent="0.2">
      <c r="D35" s="22" t="s">
        <v>38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</row>
    <row r="36" spans="4:14" ht="15" customHeight="1" x14ac:dyDescent="0.2">
      <c r="D36" s="22" t="s">
        <v>39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</row>
    <row r="37" spans="4:14" ht="15" customHeight="1" x14ac:dyDescent="0.2">
      <c r="D37" s="22" t="s">
        <v>40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</row>
    <row r="38" spans="4:14" ht="15" customHeight="1" x14ac:dyDescent="0.2">
      <c r="D38" s="22" t="s">
        <v>41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</row>
    <row r="39" spans="4:14" ht="15" customHeight="1" x14ac:dyDescent="0.2">
      <c r="D39" s="22" t="s">
        <v>42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</row>
    <row r="40" spans="4:14" ht="15" customHeight="1" x14ac:dyDescent="0.2">
      <c r="D40" s="22" t="s">
        <v>43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</row>
    <row r="41" spans="4:14" ht="15" customHeight="1" x14ac:dyDescent="0.2">
      <c r="D41" s="22" t="s">
        <v>44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</row>
    <row r="42" spans="4:14" ht="15" customHeight="1" x14ac:dyDescent="0.2">
      <c r="D42" s="22" t="s">
        <v>45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</row>
    <row r="43" spans="4:14" ht="15" customHeight="1" x14ac:dyDescent="0.2">
      <c r="D43" s="22" t="s">
        <v>46</v>
      </c>
      <c r="E43" s="22"/>
      <c r="F43" s="22"/>
      <c r="G43" s="22"/>
      <c r="H43" s="22"/>
      <c r="I43" s="22"/>
      <c r="J43" s="22"/>
      <c r="K43" s="22"/>
      <c r="L43" s="22"/>
      <c r="M43" s="22"/>
      <c r="N43" s="22"/>
    </row>
    <row r="44" spans="4:14" ht="15" customHeight="1" x14ac:dyDescent="0.2">
      <c r="D44" s="22" t="s">
        <v>47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</row>
    <row r="45" spans="4:14" ht="15" customHeight="1" x14ac:dyDescent="0.2">
      <c r="D45" s="22" t="s">
        <v>48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</row>
    <row r="46" spans="4:14" ht="15" customHeight="1" x14ac:dyDescent="0.2">
      <c r="D46" s="22" t="s">
        <v>49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</row>
    <row r="47" spans="4:14" ht="15" customHeight="1" x14ac:dyDescent="0.2">
      <c r="D47" s="22" t="s">
        <v>50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</row>
    <row r="48" spans="4:14" ht="15" customHeight="1" x14ac:dyDescent="0.2">
      <c r="D48" s="22" t="s">
        <v>51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</row>
    <row r="49" spans="4:14" ht="15" customHeight="1" x14ac:dyDescent="0.2">
      <c r="D49" s="22" t="s">
        <v>52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</row>
    <row r="50" spans="4:14" ht="15" customHeight="1" x14ac:dyDescent="0.2">
      <c r="D50" s="22" t="s">
        <v>53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</row>
    <row r="51" spans="4:14" ht="15" customHeight="1" x14ac:dyDescent="0.2">
      <c r="D51" s="22" t="s">
        <v>54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</row>
    <row r="52" spans="4:14" ht="15" customHeight="1" x14ac:dyDescent="0.2">
      <c r="D52" s="22" t="s">
        <v>55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</row>
    <row r="53" spans="4:14" ht="15" customHeight="1" x14ac:dyDescent="0.2">
      <c r="D53" s="22" t="s">
        <v>56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</row>
    <row r="54" spans="4:14" ht="15" customHeight="1" x14ac:dyDescent="0.2">
      <c r="D54" s="22" t="s">
        <v>57</v>
      </c>
      <c r="E54" s="22"/>
      <c r="F54" s="22"/>
      <c r="G54" s="22"/>
      <c r="H54" s="22"/>
      <c r="I54" s="22"/>
      <c r="J54" s="22"/>
      <c r="K54" s="22"/>
      <c r="L54" s="22"/>
      <c r="M54" s="22"/>
      <c r="N54" s="22"/>
    </row>
    <row r="55" spans="4:14" ht="15" customHeight="1" x14ac:dyDescent="0.2">
      <c r="D55" s="22" t="s">
        <v>58</v>
      </c>
      <c r="E55" s="22"/>
      <c r="F55" s="22"/>
      <c r="G55" s="22"/>
      <c r="H55" s="22"/>
      <c r="I55" s="22"/>
      <c r="J55" s="22"/>
      <c r="K55" s="22"/>
      <c r="L55" s="22"/>
      <c r="M55" s="22"/>
      <c r="N55" s="22"/>
    </row>
    <row r="56" spans="4:14" ht="15" customHeight="1" x14ac:dyDescent="0.2">
      <c r="D56" s="22" t="s">
        <v>59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</row>
    <row r="57" spans="4:14" ht="15" customHeight="1" x14ac:dyDescent="0.2">
      <c r="D57" s="22" t="s">
        <v>60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</row>
    <row r="58" spans="4:14" ht="15" customHeight="1" x14ac:dyDescent="0.2">
      <c r="D58" s="22" t="s">
        <v>61</v>
      </c>
      <c r="E58" s="22"/>
      <c r="F58" s="22"/>
      <c r="G58" s="22"/>
      <c r="H58" s="22"/>
      <c r="I58" s="22"/>
      <c r="J58" s="22"/>
      <c r="K58" s="22"/>
      <c r="L58" s="22"/>
      <c r="M58" s="22"/>
      <c r="N58" s="22"/>
    </row>
    <row r="59" spans="4:14" ht="15" customHeight="1" x14ac:dyDescent="0.2">
      <c r="D59" s="22" t="s">
        <v>62</v>
      </c>
      <c r="E59" s="22"/>
      <c r="F59" s="22"/>
      <c r="G59" s="22"/>
      <c r="H59" s="22"/>
      <c r="I59" s="22"/>
      <c r="J59" s="22"/>
      <c r="K59" s="22"/>
      <c r="L59" s="22"/>
      <c r="M59" s="22"/>
      <c r="N59" s="22"/>
    </row>
    <row r="60" spans="4:14" ht="15" customHeight="1" x14ac:dyDescent="0.2">
      <c r="D60" s="22" t="s">
        <v>63</v>
      </c>
      <c r="E60" s="22"/>
      <c r="F60" s="22"/>
      <c r="G60" s="22"/>
      <c r="H60" s="22"/>
      <c r="I60" s="22"/>
      <c r="J60" s="22"/>
      <c r="K60" s="22"/>
      <c r="L60" s="22"/>
      <c r="M60" s="22"/>
      <c r="N60" s="22"/>
    </row>
    <row r="61" spans="4:14" ht="15" customHeight="1" x14ac:dyDescent="0.2">
      <c r="D61" s="22" t="s">
        <v>64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</row>
    <row r="62" spans="4:14" ht="15" customHeight="1" x14ac:dyDescent="0.2">
      <c r="D62" s="22" t="s">
        <v>65</v>
      </c>
      <c r="E62" s="22"/>
      <c r="F62" s="22"/>
      <c r="G62" s="22"/>
      <c r="H62" s="22"/>
      <c r="I62" s="22"/>
      <c r="J62" s="22"/>
      <c r="K62" s="22"/>
      <c r="L62" s="22"/>
      <c r="M62" s="22"/>
      <c r="N62" s="22"/>
    </row>
    <row r="63" spans="4:14" ht="15" customHeight="1" x14ac:dyDescent="0.2">
      <c r="D63" s="22" t="s">
        <v>66</v>
      </c>
      <c r="E63" s="22"/>
      <c r="F63" s="22"/>
      <c r="G63" s="22"/>
      <c r="H63" s="22"/>
      <c r="I63" s="22"/>
      <c r="J63" s="22"/>
      <c r="K63" s="22"/>
      <c r="L63" s="22"/>
      <c r="M63" s="22"/>
      <c r="N63" s="22"/>
    </row>
    <row r="64" spans="4:14" ht="15" customHeight="1" x14ac:dyDescent="0.2">
      <c r="D64" s="24" t="s">
        <v>67</v>
      </c>
      <c r="E64" s="24"/>
      <c r="F64" s="24"/>
      <c r="G64" s="24"/>
      <c r="H64" s="24"/>
      <c r="I64" s="24"/>
      <c r="J64" s="24"/>
      <c r="K64" s="24"/>
      <c r="L64" s="24"/>
      <c r="M64" s="24"/>
      <c r="N64" s="24"/>
    </row>
    <row r="65" spans="4:14" ht="15" customHeight="1" x14ac:dyDescent="0.2">
      <c r="D65" s="22" t="s">
        <v>68</v>
      </c>
      <c r="E65" s="22"/>
      <c r="F65" s="22"/>
      <c r="G65" s="22"/>
      <c r="H65" s="22"/>
      <c r="I65" s="22"/>
      <c r="J65" s="22"/>
      <c r="K65" s="22"/>
      <c r="L65" s="22"/>
      <c r="M65" s="22"/>
      <c r="N65" s="22"/>
    </row>
    <row r="66" spans="4:14" ht="15" customHeight="1" x14ac:dyDescent="0.2">
      <c r="D66" s="22" t="s">
        <v>69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</row>
    <row r="67" spans="4:14" ht="15" customHeight="1" x14ac:dyDescent="0.2">
      <c r="D67" s="22" t="s">
        <v>70</v>
      </c>
      <c r="E67" s="22"/>
      <c r="F67" s="22"/>
      <c r="G67" s="22"/>
      <c r="H67" s="22"/>
      <c r="I67" s="22"/>
      <c r="J67" s="22"/>
      <c r="K67" s="22"/>
      <c r="L67" s="22"/>
      <c r="M67" s="22"/>
      <c r="N67" s="22"/>
    </row>
    <row r="68" spans="4:14" ht="15" customHeight="1" x14ac:dyDescent="0.2">
      <c r="D68" s="22" t="s">
        <v>71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</row>
    <row r="69" spans="4:14" ht="15" customHeight="1" x14ac:dyDescent="0.2">
      <c r="D69" s="22" t="s">
        <v>72</v>
      </c>
      <c r="E69" s="22"/>
      <c r="F69" s="22"/>
      <c r="G69" s="22"/>
      <c r="H69" s="22"/>
      <c r="I69" s="22"/>
      <c r="J69" s="22"/>
      <c r="K69" s="22"/>
      <c r="L69" s="22"/>
      <c r="M69" s="22"/>
      <c r="N69" s="22"/>
    </row>
    <row r="70" spans="4:14" ht="15" customHeight="1" x14ac:dyDescent="0.2">
      <c r="D70" s="22" t="s">
        <v>73</v>
      </c>
      <c r="E70" s="22"/>
      <c r="F70" s="22"/>
      <c r="G70" s="22"/>
      <c r="H70" s="22"/>
      <c r="I70" s="22"/>
      <c r="J70" s="22"/>
      <c r="K70" s="22"/>
      <c r="L70" s="22"/>
      <c r="M70" s="22"/>
      <c r="N70" s="22"/>
    </row>
    <row r="71" spans="4:14" ht="15" customHeight="1" x14ac:dyDescent="0.2">
      <c r="D71" s="22" t="s">
        <v>74</v>
      </c>
      <c r="E71" s="22"/>
      <c r="F71" s="22"/>
      <c r="G71" s="22"/>
      <c r="H71" s="22"/>
      <c r="I71" s="22"/>
      <c r="J71" s="22"/>
      <c r="K71" s="22"/>
      <c r="L71" s="22"/>
      <c r="M71" s="22"/>
      <c r="N71" s="22"/>
    </row>
    <row r="72" spans="4:14" ht="15" customHeight="1" x14ac:dyDescent="0.2">
      <c r="D72" s="22" t="s">
        <v>75</v>
      </c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4:14" ht="15" customHeight="1" x14ac:dyDescent="0.2">
      <c r="D73" s="22" t="s">
        <v>76</v>
      </c>
      <c r="E73" s="22"/>
      <c r="F73" s="22"/>
      <c r="G73" s="22"/>
      <c r="H73" s="22"/>
      <c r="I73" s="22"/>
      <c r="J73" s="22"/>
      <c r="K73" s="22"/>
      <c r="L73" s="22"/>
      <c r="M73" s="22"/>
      <c r="N73" s="22"/>
    </row>
    <row r="74" spans="4:14" ht="15" customHeight="1" x14ac:dyDescent="0.2">
      <c r="D74" s="22" t="s">
        <v>77</v>
      </c>
      <c r="E74" s="22"/>
      <c r="F74" s="22"/>
      <c r="G74" s="22"/>
      <c r="H74" s="22"/>
      <c r="I74" s="22"/>
      <c r="J74" s="22"/>
      <c r="K74" s="22"/>
      <c r="L74" s="22"/>
      <c r="M74" s="22"/>
      <c r="N74" s="22"/>
    </row>
    <row r="75" spans="4:14" ht="15" customHeight="1" x14ac:dyDescent="0.2">
      <c r="D75" s="22" t="s">
        <v>78</v>
      </c>
      <c r="E75" s="22"/>
      <c r="F75" s="22"/>
      <c r="G75" s="22"/>
      <c r="H75" s="22"/>
      <c r="I75" s="22"/>
      <c r="J75" s="22"/>
      <c r="K75" s="22"/>
      <c r="L75" s="22"/>
      <c r="M75" s="22"/>
      <c r="N75" s="22"/>
    </row>
    <row r="76" spans="4:14" ht="15" customHeight="1" x14ac:dyDescent="0.2">
      <c r="D76" s="22" t="s">
        <v>79</v>
      </c>
      <c r="E76" s="22"/>
      <c r="F76" s="22"/>
      <c r="G76" s="22"/>
      <c r="H76" s="22"/>
      <c r="I76" s="22"/>
      <c r="J76" s="22"/>
      <c r="K76" s="22"/>
      <c r="L76" s="22"/>
      <c r="M76" s="22"/>
      <c r="N76" s="22"/>
    </row>
    <row r="77" spans="4:14" ht="15" customHeight="1" x14ac:dyDescent="0.2">
      <c r="D77" s="22" t="s">
        <v>80</v>
      </c>
      <c r="E77" s="22"/>
      <c r="F77" s="22"/>
      <c r="G77" s="22"/>
      <c r="H77" s="22"/>
      <c r="I77" s="22"/>
      <c r="J77" s="22"/>
      <c r="K77" s="22"/>
      <c r="L77" s="22"/>
      <c r="M77" s="22"/>
      <c r="N77" s="22"/>
    </row>
    <row r="78" spans="4:14" ht="15" customHeight="1" x14ac:dyDescent="0.2">
      <c r="D78" s="22" t="s">
        <v>81</v>
      </c>
      <c r="E78" s="22"/>
      <c r="F78" s="22"/>
      <c r="G78" s="22"/>
      <c r="H78" s="22"/>
      <c r="I78" s="22"/>
      <c r="J78" s="22"/>
      <c r="K78" s="22"/>
      <c r="L78" s="22"/>
      <c r="M78" s="22"/>
      <c r="N78" s="22"/>
    </row>
    <row r="79" spans="4:14" ht="15" customHeight="1" x14ac:dyDescent="0.2">
      <c r="D79" s="22" t="s">
        <v>82</v>
      </c>
      <c r="E79" s="22"/>
      <c r="F79" s="22"/>
      <c r="G79" s="22"/>
      <c r="H79" s="22"/>
      <c r="I79" s="22"/>
      <c r="J79" s="22"/>
      <c r="K79" s="22"/>
      <c r="L79" s="22"/>
      <c r="M79" s="22"/>
      <c r="N79" s="22"/>
    </row>
    <row r="80" spans="4:14" ht="15" customHeight="1" x14ac:dyDescent="0.2">
      <c r="D80" s="22" t="s">
        <v>83</v>
      </c>
      <c r="E80" s="22"/>
      <c r="F80" s="22"/>
      <c r="G80" s="22"/>
      <c r="H80" s="22"/>
      <c r="I80" s="22"/>
      <c r="J80" s="22"/>
      <c r="K80" s="22"/>
      <c r="L80" s="22"/>
      <c r="M80" s="22"/>
      <c r="N80" s="22"/>
    </row>
    <row r="81" spans="4:14" ht="15" customHeight="1" x14ac:dyDescent="0.2">
      <c r="D81" s="22" t="s">
        <v>84</v>
      </c>
      <c r="E81" s="22"/>
      <c r="F81" s="22"/>
      <c r="G81" s="22"/>
      <c r="H81" s="22"/>
      <c r="I81" s="22"/>
      <c r="J81" s="22"/>
      <c r="K81" s="22"/>
      <c r="L81" s="22"/>
      <c r="M81" s="22"/>
      <c r="N81" s="22"/>
    </row>
    <row r="82" spans="4:14" ht="15" customHeight="1" x14ac:dyDescent="0.2">
      <c r="D82" s="22" t="s">
        <v>85</v>
      </c>
      <c r="E82" s="22"/>
      <c r="F82" s="22"/>
      <c r="G82" s="22"/>
      <c r="H82" s="22"/>
      <c r="I82" s="22"/>
      <c r="J82" s="22"/>
      <c r="K82" s="22"/>
      <c r="L82" s="22"/>
      <c r="M82" s="22"/>
      <c r="N82" s="22"/>
    </row>
    <row r="83" spans="4:14" ht="15" customHeight="1" x14ac:dyDescent="0.2">
      <c r="D83" s="22" t="s">
        <v>86</v>
      </c>
      <c r="E83" s="22"/>
      <c r="F83" s="22"/>
      <c r="G83" s="22"/>
      <c r="H83" s="22"/>
      <c r="I83" s="22"/>
      <c r="J83" s="22"/>
      <c r="K83" s="22"/>
      <c r="L83" s="22"/>
      <c r="M83" s="22"/>
      <c r="N83" s="22"/>
    </row>
    <row r="84" spans="4:14" ht="15" customHeight="1" x14ac:dyDescent="0.2">
      <c r="D84" s="22" t="s">
        <v>87</v>
      </c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4:14" ht="15" customHeight="1" x14ac:dyDescent="0.2">
      <c r="D85" s="22" t="s">
        <v>88</v>
      </c>
      <c r="E85" s="22"/>
      <c r="F85" s="22"/>
      <c r="G85" s="22"/>
      <c r="H85" s="22"/>
      <c r="I85" s="22"/>
      <c r="J85" s="22"/>
      <c r="K85" s="22"/>
      <c r="L85" s="22"/>
      <c r="M85" s="22"/>
      <c r="N85" s="22"/>
    </row>
    <row r="86" spans="4:14" ht="15" customHeight="1" x14ac:dyDescent="0.2">
      <c r="D86" s="22" t="s">
        <v>89</v>
      </c>
      <c r="E86" s="22"/>
      <c r="F86" s="22"/>
      <c r="G86" s="22"/>
      <c r="H86" s="22"/>
      <c r="I86" s="22"/>
      <c r="J86" s="22"/>
      <c r="K86" s="22"/>
      <c r="L86" s="22"/>
      <c r="M86" s="22"/>
      <c r="N86" s="22"/>
    </row>
    <row r="87" spans="4:14" ht="15" customHeight="1" x14ac:dyDescent="0.2">
      <c r="D87" s="22" t="s">
        <v>90</v>
      </c>
      <c r="E87" s="22"/>
      <c r="F87" s="22"/>
      <c r="G87" s="22"/>
      <c r="H87" s="22"/>
      <c r="I87" s="22"/>
      <c r="J87" s="22"/>
      <c r="K87" s="22"/>
      <c r="L87" s="22"/>
      <c r="M87" s="22"/>
      <c r="N87" s="22"/>
    </row>
    <row r="88" spans="4:14" ht="15" customHeight="1" x14ac:dyDescent="0.2">
      <c r="D88" s="22" t="s">
        <v>91</v>
      </c>
      <c r="E88" s="22"/>
      <c r="F88" s="22"/>
      <c r="G88" s="22"/>
      <c r="H88" s="22"/>
      <c r="I88" s="22"/>
      <c r="J88" s="22"/>
      <c r="K88" s="22"/>
      <c r="L88" s="22"/>
      <c r="M88" s="22"/>
      <c r="N88" s="22"/>
    </row>
    <row r="89" spans="4:14" ht="15" customHeight="1" x14ac:dyDescent="0.2">
      <c r="D89" s="22" t="s">
        <v>92</v>
      </c>
      <c r="E89" s="22"/>
      <c r="F89" s="22"/>
      <c r="G89" s="22"/>
      <c r="H89" s="22"/>
      <c r="I89" s="22"/>
      <c r="J89" s="22"/>
      <c r="K89" s="22"/>
      <c r="L89" s="22"/>
      <c r="M89" s="22"/>
      <c r="N89" s="22"/>
    </row>
    <row r="90" spans="4:14" ht="15" customHeight="1" x14ac:dyDescent="0.2">
      <c r="D90" s="22" t="s">
        <v>93</v>
      </c>
      <c r="E90" s="22"/>
      <c r="F90" s="22"/>
      <c r="G90" s="22"/>
      <c r="H90" s="22"/>
      <c r="I90" s="22"/>
      <c r="J90" s="22"/>
      <c r="K90" s="22"/>
      <c r="L90" s="22"/>
      <c r="M90" s="22"/>
      <c r="N90" s="22"/>
    </row>
    <row r="91" spans="4:14" ht="15" customHeight="1" x14ac:dyDescent="0.2">
      <c r="D91" s="22" t="s">
        <v>94</v>
      </c>
      <c r="E91" s="22"/>
      <c r="F91" s="22"/>
      <c r="G91" s="22"/>
      <c r="H91" s="22"/>
      <c r="I91" s="22"/>
      <c r="J91" s="22"/>
      <c r="K91" s="22"/>
      <c r="L91" s="22"/>
      <c r="M91" s="22"/>
      <c r="N91" s="22"/>
    </row>
    <row r="92" spans="4:14" ht="15" customHeight="1" x14ac:dyDescent="0.2">
      <c r="D92" s="22" t="s">
        <v>95</v>
      </c>
      <c r="E92" s="22"/>
      <c r="F92" s="22"/>
      <c r="G92" s="22"/>
      <c r="H92" s="22"/>
      <c r="I92" s="22"/>
      <c r="J92" s="22"/>
      <c r="K92" s="22"/>
      <c r="L92" s="22"/>
      <c r="M92" s="22"/>
      <c r="N92" s="22"/>
    </row>
    <row r="93" spans="4:14" ht="15" customHeight="1" x14ac:dyDescent="0.2">
      <c r="D93" s="22" t="s">
        <v>96</v>
      </c>
      <c r="E93" s="22"/>
      <c r="F93" s="22"/>
      <c r="G93" s="22"/>
      <c r="H93" s="22"/>
      <c r="I93" s="22"/>
      <c r="J93" s="22"/>
      <c r="K93" s="22"/>
      <c r="L93" s="22"/>
      <c r="M93" s="22"/>
      <c r="N93" s="22"/>
    </row>
    <row r="94" spans="4:14" ht="15" customHeight="1" x14ac:dyDescent="0.2">
      <c r="D94" s="22" t="s">
        <v>97</v>
      </c>
      <c r="E94" s="22"/>
      <c r="F94" s="22"/>
      <c r="G94" s="22"/>
      <c r="H94" s="22"/>
      <c r="I94" s="22"/>
      <c r="J94" s="22"/>
      <c r="K94" s="22"/>
      <c r="L94" s="22"/>
      <c r="M94" s="22"/>
      <c r="N94" s="22"/>
    </row>
    <row r="95" spans="4:14" ht="15" customHeight="1" x14ac:dyDescent="0.2">
      <c r="D95" s="22" t="s">
        <v>98</v>
      </c>
      <c r="E95" s="22"/>
      <c r="F95" s="22"/>
      <c r="G95" s="22"/>
      <c r="H95" s="22"/>
      <c r="I95" s="22"/>
      <c r="J95" s="22"/>
      <c r="K95" s="22"/>
      <c r="L95" s="22"/>
      <c r="M95" s="22"/>
      <c r="N95" s="22"/>
    </row>
    <row r="96" spans="4:14" ht="15" customHeight="1" x14ac:dyDescent="0.2">
      <c r="D96" s="22" t="s">
        <v>99</v>
      </c>
      <c r="E96" s="22"/>
      <c r="F96" s="22"/>
      <c r="G96" s="22"/>
      <c r="H96" s="22"/>
      <c r="I96" s="22"/>
      <c r="J96" s="22"/>
      <c r="K96" s="22"/>
      <c r="L96" s="22"/>
      <c r="M96" s="22"/>
      <c r="N96" s="22"/>
    </row>
    <row r="97" spans="1:14" ht="15" customHeight="1" x14ac:dyDescent="0.2">
      <c r="D97" s="24" t="s">
        <v>100</v>
      </c>
      <c r="E97" s="24"/>
      <c r="F97" s="24"/>
      <c r="G97" s="24"/>
      <c r="H97" s="24"/>
      <c r="I97" s="24"/>
      <c r="J97" s="24"/>
      <c r="K97" s="24"/>
      <c r="L97" s="24"/>
      <c r="M97" s="24"/>
      <c r="N97" s="24"/>
    </row>
    <row r="98" spans="1:14" ht="15" customHeight="1" x14ac:dyDescent="0.2">
      <c r="D98" s="22" t="s">
        <v>101</v>
      </c>
      <c r="E98" s="22"/>
      <c r="F98" s="22"/>
      <c r="G98" s="22"/>
      <c r="H98" s="22"/>
      <c r="I98" s="22"/>
      <c r="J98" s="22"/>
      <c r="K98" s="22"/>
      <c r="L98" s="22"/>
      <c r="M98" s="22"/>
      <c r="N98" s="22"/>
    </row>
    <row r="99" spans="1:14" ht="15" customHeight="1" x14ac:dyDescent="0.2">
      <c r="D99" s="24" t="s">
        <v>102</v>
      </c>
      <c r="E99" s="24"/>
      <c r="F99" s="24"/>
      <c r="G99" s="24"/>
      <c r="H99" s="24"/>
      <c r="I99" s="24"/>
      <c r="J99" s="24"/>
      <c r="K99" s="24"/>
      <c r="L99" s="24"/>
      <c r="M99" s="24"/>
      <c r="N99" s="24"/>
    </row>
    <row r="100" spans="1:14" ht="15" customHeight="1" x14ac:dyDescent="0.2">
      <c r="D100" s="22" t="s">
        <v>103</v>
      </c>
      <c r="E100" s="22"/>
      <c r="F100" s="22"/>
      <c r="G100" s="22"/>
      <c r="H100" s="22"/>
      <c r="I100" s="22"/>
      <c r="J100" s="22"/>
      <c r="K100" s="22"/>
      <c r="L100" s="22"/>
      <c r="M100" s="22"/>
      <c r="N100" s="22"/>
    </row>
    <row r="101" spans="1:14" ht="15" customHeight="1" x14ac:dyDescent="0.2">
      <c r="D101" s="22" t="s">
        <v>104</v>
      </c>
      <c r="E101" s="22"/>
      <c r="F101" s="22"/>
      <c r="G101" s="22"/>
      <c r="H101" s="22"/>
      <c r="I101" s="22"/>
      <c r="J101" s="22"/>
      <c r="K101" s="22"/>
      <c r="L101" s="22"/>
      <c r="M101" s="22"/>
      <c r="N101" s="22"/>
    </row>
    <row r="102" spans="1:14" ht="15" customHeight="1" x14ac:dyDescent="0.2">
      <c r="D102" s="22" t="s">
        <v>105</v>
      </c>
      <c r="E102" s="22"/>
      <c r="F102" s="22"/>
      <c r="G102" s="22"/>
      <c r="H102" s="22"/>
      <c r="I102" s="22"/>
      <c r="J102" s="22"/>
      <c r="K102" s="22"/>
      <c r="L102" s="22"/>
      <c r="M102" s="22"/>
      <c r="N102" s="22"/>
    </row>
    <row r="103" spans="1:14" ht="15" customHeight="1" x14ac:dyDescent="0.2">
      <c r="D103" s="22" t="s">
        <v>106</v>
      </c>
      <c r="E103" s="22"/>
      <c r="F103" s="22"/>
      <c r="G103" s="22"/>
      <c r="H103" s="22"/>
      <c r="I103" s="22"/>
      <c r="J103" s="22"/>
      <c r="K103" s="22"/>
      <c r="L103" s="22"/>
      <c r="M103" s="22"/>
      <c r="N103" s="22"/>
    </row>
    <row r="104" spans="1:14" ht="15" customHeight="1" x14ac:dyDescent="0.2">
      <c r="D104" s="22" t="s">
        <v>107</v>
      </c>
      <c r="E104" s="22"/>
      <c r="F104" s="22"/>
      <c r="G104" s="22"/>
      <c r="H104" s="22"/>
      <c r="I104" s="22"/>
      <c r="J104" s="22"/>
      <c r="K104" s="22"/>
      <c r="L104" s="22"/>
      <c r="M104" s="22"/>
      <c r="N104" s="22"/>
    </row>
    <row r="105" spans="1:14" ht="15" customHeight="1" x14ac:dyDescent="0.2">
      <c r="D105" s="22" t="s">
        <v>108</v>
      </c>
      <c r="E105" s="22"/>
      <c r="F105" s="22"/>
      <c r="G105" s="22"/>
      <c r="H105" s="22"/>
      <c r="I105" s="22"/>
      <c r="J105" s="22"/>
      <c r="K105" s="22"/>
      <c r="L105" s="22"/>
      <c r="M105" s="22"/>
      <c r="N105" s="22"/>
    </row>
    <row r="106" spans="1:14" ht="15" customHeight="1" x14ac:dyDescent="0.2">
      <c r="D106" s="22" t="s">
        <v>109</v>
      </c>
      <c r="E106" s="22"/>
      <c r="F106" s="22"/>
      <c r="G106" s="22"/>
      <c r="H106" s="22"/>
      <c r="I106" s="22"/>
      <c r="J106" s="22"/>
      <c r="K106" s="22"/>
      <c r="L106" s="22"/>
      <c r="M106" s="22"/>
      <c r="N106" s="22"/>
    </row>
    <row r="107" spans="1:14" ht="15" customHeight="1" x14ac:dyDescent="0.2">
      <c r="A107" s="10" t="s">
        <v>110</v>
      </c>
      <c r="B107" s="10"/>
      <c r="C107" s="10"/>
      <c r="D107" s="22" t="s">
        <v>111</v>
      </c>
      <c r="E107" s="22"/>
      <c r="F107" s="22"/>
      <c r="G107" s="22"/>
      <c r="H107" s="22"/>
      <c r="I107" s="22"/>
      <c r="J107" s="22"/>
      <c r="K107" s="22"/>
      <c r="L107" s="22"/>
      <c r="M107" s="22"/>
      <c r="N107" s="22"/>
    </row>
    <row r="108" spans="1:14" ht="15" customHeight="1" x14ac:dyDescent="0.2">
      <c r="A108" s="10" t="s">
        <v>112</v>
      </c>
      <c r="B108" s="10"/>
      <c r="C108" s="10"/>
      <c r="D108" s="22" t="s">
        <v>113</v>
      </c>
      <c r="E108" s="22"/>
      <c r="F108" s="22"/>
      <c r="G108" s="22"/>
      <c r="H108" s="22"/>
      <c r="I108" s="22"/>
      <c r="J108" s="22"/>
      <c r="K108" s="22"/>
      <c r="L108" s="22"/>
      <c r="M108" s="22"/>
      <c r="N108" s="22"/>
    </row>
    <row r="109" spans="1:14" ht="15" customHeight="1" x14ac:dyDescent="0.2">
      <c r="A109" s="10" t="s">
        <v>114</v>
      </c>
      <c r="B109" s="10"/>
      <c r="C109" s="10"/>
      <c r="D109" s="23">
        <v>300</v>
      </c>
      <c r="E109" s="23"/>
      <c r="F109" s="23"/>
      <c r="G109" s="23"/>
      <c r="H109" s="23"/>
      <c r="I109" s="23"/>
      <c r="J109" s="23"/>
      <c r="K109" s="23"/>
      <c r="L109" s="23"/>
      <c r="M109" s="23"/>
      <c r="N109" s="23"/>
    </row>
    <row r="110" spans="1:14" ht="15" customHeight="1" x14ac:dyDescent="0.2">
      <c r="A110" s="10" t="s">
        <v>115</v>
      </c>
      <c r="B110" s="10"/>
      <c r="C110" s="10"/>
      <c r="D110" s="22" t="s">
        <v>116</v>
      </c>
      <c r="E110" s="22"/>
      <c r="F110" s="22"/>
      <c r="G110" s="22"/>
      <c r="H110" s="22"/>
      <c r="I110" s="22"/>
      <c r="J110" s="22"/>
      <c r="K110" s="22"/>
      <c r="L110" s="22"/>
      <c r="M110" s="22"/>
      <c r="N110" s="22"/>
    </row>
    <row r="111" spans="1:14" ht="24.95" customHeight="1" x14ac:dyDescent="0.2">
      <c r="A111" s="15" t="s">
        <v>117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</row>
    <row r="112" spans="1:14" ht="15" customHeight="1" x14ac:dyDescent="0.2">
      <c r="A112" s="18" t="s">
        <v>118</v>
      </c>
      <c r="B112" s="18"/>
      <c r="C112" s="18"/>
      <c r="D112" s="19" t="s">
        <v>119</v>
      </c>
    </row>
    <row r="113" spans="1:14" ht="15" customHeight="1" x14ac:dyDescent="0.2">
      <c r="A113" s="10" t="s">
        <v>120</v>
      </c>
      <c r="B113" s="10"/>
      <c r="C113" s="10"/>
      <c r="D113" s="14">
        <v>131884</v>
      </c>
      <c r="E113" s="10" t="s">
        <v>121</v>
      </c>
      <c r="F113" s="10"/>
      <c r="G113" s="10"/>
      <c r="H113" s="14">
        <v>27133159</v>
      </c>
      <c r="I113" s="10" t="s">
        <v>122</v>
      </c>
      <c r="J113" s="10"/>
      <c r="K113" s="10"/>
      <c r="L113" s="14">
        <v>1</v>
      </c>
      <c r="M113" s="14"/>
      <c r="N113" s="14"/>
    </row>
    <row r="114" spans="1:14" ht="15" customHeight="1" x14ac:dyDescent="0.2">
      <c r="A114" s="18" t="s">
        <v>123</v>
      </c>
      <c r="B114" s="18"/>
      <c r="C114" s="18"/>
      <c r="D114" s="21">
        <v>-49.5</v>
      </c>
      <c r="E114" s="10" t="s">
        <v>124</v>
      </c>
      <c r="F114" s="10"/>
      <c r="G114" s="10"/>
      <c r="H114" s="16">
        <v>49.5</v>
      </c>
      <c r="I114" s="10" t="s">
        <v>125</v>
      </c>
      <c r="J114" s="10"/>
      <c r="K114" s="10"/>
      <c r="L114" s="16">
        <v>49.5</v>
      </c>
      <c r="M114" s="16"/>
      <c r="N114" s="16"/>
    </row>
    <row r="115" spans="1:14" ht="15" customHeight="1" x14ac:dyDescent="0.2">
      <c r="A115" s="10" t="s">
        <v>126</v>
      </c>
      <c r="B115" s="10"/>
      <c r="C115" s="10"/>
      <c r="D115" s="16">
        <v>96.36</v>
      </c>
      <c r="E115" s="10" t="s">
        <v>127</v>
      </c>
      <c r="F115" s="10"/>
      <c r="G115" s="10"/>
      <c r="H115" s="17" t="s">
        <v>128</v>
      </c>
      <c r="I115" s="18" t="s">
        <v>129</v>
      </c>
      <c r="J115" s="18"/>
      <c r="K115" s="18"/>
      <c r="L115" s="19" t="s">
        <v>130</v>
      </c>
      <c r="M115" s="19"/>
      <c r="N115" s="19"/>
    </row>
    <row r="116" spans="1:14" ht="15" customHeight="1" x14ac:dyDescent="0.2">
      <c r="A116" s="10" t="s">
        <v>131</v>
      </c>
      <c r="B116" s="10"/>
      <c r="C116" s="10"/>
      <c r="D116" s="16">
        <v>-145.86000000000001</v>
      </c>
      <c r="E116" s="10" t="s">
        <v>132</v>
      </c>
      <c r="F116" s="10"/>
      <c r="G116" s="10"/>
      <c r="H116" s="17" t="s">
        <v>133</v>
      </c>
      <c r="I116" s="18" t="s">
        <v>134</v>
      </c>
      <c r="J116" s="18"/>
      <c r="K116" s="18"/>
      <c r="L116" s="19" t="s">
        <v>135</v>
      </c>
      <c r="M116" s="19"/>
      <c r="N116" s="19"/>
    </row>
    <row r="118" spans="1:14" ht="15" customHeight="1" x14ac:dyDescent="0.2">
      <c r="A118" s="18" t="s">
        <v>136</v>
      </c>
      <c r="B118" s="18"/>
      <c r="C118" s="18"/>
      <c r="D118" s="21">
        <v>0.66063300000000003</v>
      </c>
      <c r="E118" s="18" t="s">
        <v>137</v>
      </c>
      <c r="F118" s="18"/>
      <c r="G118" s="18"/>
      <c r="H118" s="21">
        <v>-1.7068970000000001</v>
      </c>
      <c r="I118" s="10" t="s">
        <v>138</v>
      </c>
      <c r="J118" s="10"/>
      <c r="K118" s="10"/>
      <c r="L118" s="17" t="s">
        <v>139</v>
      </c>
      <c r="M118" s="17"/>
      <c r="N118" s="17"/>
    </row>
    <row r="119" spans="1:14" ht="15" customHeight="1" x14ac:dyDescent="0.2">
      <c r="A119" s="18" t="s">
        <v>140</v>
      </c>
      <c r="B119" s="18"/>
      <c r="C119" s="18"/>
      <c r="D119" s="21">
        <v>-0.59789800000000004</v>
      </c>
      <c r="E119" s="18" t="s">
        <v>141</v>
      </c>
      <c r="F119" s="18"/>
      <c r="G119" s="18"/>
      <c r="H119" s="21">
        <v>-3.9328280000000002</v>
      </c>
      <c r="I119" s="10" t="s">
        <v>142</v>
      </c>
      <c r="J119" s="10"/>
      <c r="K119" s="10"/>
      <c r="L119" s="17" t="s">
        <v>143</v>
      </c>
      <c r="M119" s="17"/>
      <c r="N119" s="17"/>
    </row>
    <row r="120" spans="1:14" ht="15" customHeight="1" x14ac:dyDescent="0.2">
      <c r="A120" s="10" t="s">
        <v>144</v>
      </c>
      <c r="B120" s="10"/>
      <c r="C120" s="10"/>
      <c r="D120" s="17" t="s">
        <v>145</v>
      </c>
      <c r="E120" s="10" t="s">
        <v>146</v>
      </c>
      <c r="F120" s="10"/>
      <c r="G120" s="10"/>
      <c r="H120" s="16">
        <v>-0.63283999999999996</v>
      </c>
      <c r="I120" s="10" t="s">
        <v>147</v>
      </c>
      <c r="J120" s="10"/>
      <c r="K120" s="10"/>
      <c r="L120" s="17" t="s">
        <v>148</v>
      </c>
      <c r="M120" s="17"/>
      <c r="N120" s="17"/>
    </row>
    <row r="121" spans="1:14" ht="15" customHeight="1" x14ac:dyDescent="0.2">
      <c r="A121" s="10" t="s">
        <v>149</v>
      </c>
      <c r="B121" s="10"/>
      <c r="C121" s="10"/>
      <c r="D121" s="17" t="s">
        <v>150</v>
      </c>
      <c r="E121" s="10" t="s">
        <v>151</v>
      </c>
      <c r="F121" s="10"/>
      <c r="G121" s="10"/>
      <c r="H121" s="16">
        <v>14.253897</v>
      </c>
    </row>
    <row r="123" spans="1:14" ht="15" customHeight="1" x14ac:dyDescent="0.2">
      <c r="A123" s="10" t="s">
        <v>152</v>
      </c>
      <c r="B123" s="10"/>
      <c r="C123" s="10"/>
      <c r="D123" s="16">
        <v>0.762957</v>
      </c>
      <c r="E123" s="10" t="s">
        <v>153</v>
      </c>
      <c r="F123" s="10"/>
      <c r="G123" s="10"/>
      <c r="H123" s="16">
        <v>0.47070400000000001</v>
      </c>
      <c r="I123" s="10" t="s">
        <v>154</v>
      </c>
      <c r="J123" s="10"/>
      <c r="K123" s="10"/>
      <c r="L123" s="16">
        <v>-6.2519000000000005E-2</v>
      </c>
      <c r="M123" s="16"/>
      <c r="N123" s="16"/>
    </row>
    <row r="124" spans="1:14" ht="15" customHeight="1" x14ac:dyDescent="0.2">
      <c r="A124" s="10" t="s">
        <v>155</v>
      </c>
      <c r="B124" s="10"/>
      <c r="C124" s="10"/>
      <c r="D124" s="17" t="s">
        <v>156</v>
      </c>
      <c r="E124" s="10" t="s">
        <v>157</v>
      </c>
      <c r="F124" s="10"/>
      <c r="G124" s="10"/>
      <c r="H124" s="17" t="s">
        <v>158</v>
      </c>
      <c r="I124" s="18" t="s">
        <v>159</v>
      </c>
      <c r="J124" s="18"/>
      <c r="K124" s="18"/>
      <c r="L124" s="19" t="s">
        <v>160</v>
      </c>
      <c r="M124" s="19"/>
      <c r="N124" s="19"/>
    </row>
    <row r="126" spans="1:14" ht="15" customHeight="1" x14ac:dyDescent="0.2">
      <c r="A126" s="18" t="s">
        <v>161</v>
      </c>
      <c r="B126" s="18"/>
      <c r="C126" s="18"/>
      <c r="D126" s="20">
        <v>29</v>
      </c>
      <c r="E126" s="10" t="s">
        <v>162</v>
      </c>
      <c r="F126" s="10"/>
      <c r="G126" s="10"/>
      <c r="H126" s="17" t="s">
        <v>163</v>
      </c>
      <c r="I126" s="10" t="s">
        <v>164</v>
      </c>
      <c r="J126" s="10"/>
      <c r="K126" s="10"/>
      <c r="L126" s="17" t="s">
        <v>165</v>
      </c>
      <c r="M126" s="17"/>
      <c r="N126" s="17"/>
    </row>
    <row r="127" spans="1:14" ht="15" customHeight="1" x14ac:dyDescent="0.2">
      <c r="A127" s="10" t="s">
        <v>166</v>
      </c>
      <c r="B127" s="10"/>
      <c r="C127" s="10"/>
      <c r="D127" s="14">
        <v>58</v>
      </c>
      <c r="E127" s="18" t="s">
        <v>167</v>
      </c>
      <c r="F127" s="18"/>
      <c r="G127" s="18"/>
      <c r="H127" s="19" t="s">
        <v>168</v>
      </c>
      <c r="I127" s="10" t="s">
        <v>169</v>
      </c>
      <c r="J127" s="10"/>
      <c r="K127" s="10"/>
      <c r="L127" s="17" t="s">
        <v>170</v>
      </c>
      <c r="M127" s="17"/>
      <c r="N127" s="17"/>
    </row>
    <row r="128" spans="1:14" ht="15" customHeight="1" x14ac:dyDescent="0.2">
      <c r="E128" s="10" t="s">
        <v>171</v>
      </c>
      <c r="F128" s="10"/>
      <c r="G128" s="10"/>
      <c r="H128" s="16">
        <v>18.71</v>
      </c>
      <c r="I128" s="10" t="s">
        <v>172</v>
      </c>
      <c r="J128" s="10"/>
      <c r="K128" s="10"/>
      <c r="L128" s="16">
        <v>-15.72</v>
      </c>
      <c r="M128" s="16"/>
      <c r="N128" s="16"/>
    </row>
    <row r="129" spans="5:14" ht="15" customHeight="1" x14ac:dyDescent="0.2">
      <c r="E129" s="10" t="s">
        <v>173</v>
      </c>
      <c r="F129" s="10"/>
      <c r="G129" s="10"/>
      <c r="H129" s="16">
        <v>16.059999999999999</v>
      </c>
      <c r="I129" s="10" t="s">
        <v>174</v>
      </c>
      <c r="J129" s="10"/>
      <c r="K129" s="10"/>
      <c r="L129" s="16">
        <v>-6.3417389999999996</v>
      </c>
      <c r="M129" s="16"/>
      <c r="N129" s="16"/>
    </row>
    <row r="130" spans="5:14" ht="15" customHeight="1" x14ac:dyDescent="0.2">
      <c r="E130" s="10" t="s">
        <v>175</v>
      </c>
      <c r="F130" s="10"/>
      <c r="G130" s="10"/>
      <c r="H130" s="17" t="s">
        <v>176</v>
      </c>
      <c r="I130" s="18" t="s">
        <v>177</v>
      </c>
      <c r="J130" s="18"/>
      <c r="K130" s="18"/>
      <c r="L130" s="19" t="s">
        <v>178</v>
      </c>
      <c r="M130" s="19"/>
      <c r="N130" s="19"/>
    </row>
    <row r="131" spans="5:14" ht="15" customHeight="1" x14ac:dyDescent="0.2">
      <c r="E131" s="10" t="s">
        <v>179</v>
      </c>
      <c r="F131" s="10"/>
      <c r="G131" s="10"/>
      <c r="H131" s="17" t="s">
        <v>180</v>
      </c>
      <c r="I131" s="10" t="s">
        <v>181</v>
      </c>
      <c r="J131" s="10"/>
      <c r="K131" s="10"/>
      <c r="L131" s="17" t="s">
        <v>182</v>
      </c>
      <c r="M131" s="17"/>
      <c r="N131" s="17"/>
    </row>
    <row r="132" spans="5:14" ht="15" customHeight="1" x14ac:dyDescent="0.2">
      <c r="E132" s="10" t="s">
        <v>183</v>
      </c>
      <c r="F132" s="10"/>
      <c r="G132" s="10"/>
      <c r="H132" s="14">
        <v>2</v>
      </c>
      <c r="I132" s="10" t="s">
        <v>184</v>
      </c>
      <c r="J132" s="10"/>
      <c r="K132" s="10"/>
      <c r="L132" s="14">
        <v>6</v>
      </c>
      <c r="M132" s="14"/>
      <c r="N132" s="14"/>
    </row>
    <row r="155" spans="1:14" ht="20.100000000000001" customHeight="1" x14ac:dyDescent="0.2">
      <c r="A155" s="15" t="s">
        <v>185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</row>
    <row r="156" spans="1:14" ht="20.100000000000001" customHeight="1" x14ac:dyDescent="0.2">
      <c r="A156" s="2" t="s">
        <v>186</v>
      </c>
      <c r="B156" s="2" t="s">
        <v>187</v>
      </c>
      <c r="C156" s="2" t="s">
        <v>188</v>
      </c>
      <c r="D156" s="2" t="s">
        <v>189</v>
      </c>
      <c r="E156" s="13" t="s">
        <v>190</v>
      </c>
      <c r="F156" s="13"/>
      <c r="G156" s="2" t="s">
        <v>191</v>
      </c>
      <c r="H156" s="2" t="s">
        <v>192</v>
      </c>
      <c r="I156" s="2" t="s">
        <v>193</v>
      </c>
      <c r="J156" s="13" t="s">
        <v>194</v>
      </c>
      <c r="K156" s="13"/>
      <c r="L156" s="2" t="s">
        <v>195</v>
      </c>
      <c r="M156" s="13" t="s">
        <v>196</v>
      </c>
      <c r="N156" s="13"/>
    </row>
    <row r="157" spans="1:14" ht="15" customHeight="1" x14ac:dyDescent="0.2">
      <c r="A157" s="3" t="s">
        <v>197</v>
      </c>
      <c r="B157" s="4">
        <v>2</v>
      </c>
      <c r="C157" s="3" t="s">
        <v>6</v>
      </c>
      <c r="D157" s="3" t="s">
        <v>198</v>
      </c>
      <c r="E157" s="9" t="s">
        <v>199</v>
      </c>
      <c r="F157" s="9"/>
      <c r="G157" s="5">
        <v>0</v>
      </c>
      <c r="H157" s="3"/>
      <c r="I157" s="3"/>
      <c r="J157" s="9" t="s">
        <v>197</v>
      </c>
      <c r="K157" s="9"/>
      <c r="L157" s="3" t="s">
        <v>200</v>
      </c>
      <c r="M157" s="9" t="s">
        <v>201</v>
      </c>
      <c r="N157" s="9"/>
    </row>
    <row r="158" spans="1:14" ht="15" customHeight="1" x14ac:dyDescent="0.2">
      <c r="A158" s="1" t="s">
        <v>202</v>
      </c>
      <c r="B158" s="6">
        <v>3</v>
      </c>
      <c r="C158" s="1" t="s">
        <v>6</v>
      </c>
      <c r="D158" s="1" t="s">
        <v>203</v>
      </c>
      <c r="E158" s="10" t="s">
        <v>199</v>
      </c>
      <c r="F158" s="10"/>
      <c r="G158" s="7">
        <v>0</v>
      </c>
      <c r="H158" s="1"/>
      <c r="I158" s="1"/>
      <c r="J158" s="10" t="s">
        <v>202</v>
      </c>
      <c r="K158" s="10"/>
      <c r="L158" s="1" t="s">
        <v>200</v>
      </c>
      <c r="M158" s="10" t="s">
        <v>204</v>
      </c>
      <c r="N158" s="10"/>
    </row>
    <row r="159" spans="1:14" ht="15" customHeight="1" x14ac:dyDescent="0.2">
      <c r="A159" s="3" t="s">
        <v>205</v>
      </c>
      <c r="B159" s="4">
        <v>4</v>
      </c>
      <c r="C159" s="3" t="s">
        <v>6</v>
      </c>
      <c r="D159" s="3" t="s">
        <v>198</v>
      </c>
      <c r="E159" s="9" t="s">
        <v>199</v>
      </c>
      <c r="F159" s="9"/>
      <c r="G159" s="5">
        <v>0</v>
      </c>
      <c r="H159" s="3"/>
      <c r="I159" s="3"/>
      <c r="J159" s="9" t="s">
        <v>205</v>
      </c>
      <c r="K159" s="9"/>
      <c r="L159" s="3" t="s">
        <v>200</v>
      </c>
      <c r="M159" s="9" t="s">
        <v>201</v>
      </c>
      <c r="N159" s="9"/>
    </row>
    <row r="160" spans="1:14" ht="15" customHeight="1" x14ac:dyDescent="0.2">
      <c r="A160" s="1" t="s">
        <v>206</v>
      </c>
      <c r="B160" s="6">
        <v>5</v>
      </c>
      <c r="C160" s="1" t="s">
        <v>6</v>
      </c>
      <c r="D160" s="1" t="s">
        <v>203</v>
      </c>
      <c r="E160" s="10" t="s">
        <v>199</v>
      </c>
      <c r="F160" s="10"/>
      <c r="G160" s="7">
        <v>0</v>
      </c>
      <c r="H160" s="1"/>
      <c r="I160" s="1"/>
      <c r="J160" s="10" t="s">
        <v>206</v>
      </c>
      <c r="K160" s="10"/>
      <c r="L160" s="1" t="s">
        <v>200</v>
      </c>
      <c r="M160" s="10" t="s">
        <v>207</v>
      </c>
      <c r="N160" s="10"/>
    </row>
    <row r="161" spans="1:14" ht="15" customHeight="1" x14ac:dyDescent="0.2">
      <c r="A161" s="3" t="s">
        <v>208</v>
      </c>
      <c r="B161" s="4">
        <v>6</v>
      </c>
      <c r="C161" s="3" t="s">
        <v>6</v>
      </c>
      <c r="D161" s="3" t="s">
        <v>198</v>
      </c>
      <c r="E161" s="9" t="s">
        <v>199</v>
      </c>
      <c r="F161" s="9"/>
      <c r="G161" s="5">
        <v>0</v>
      </c>
      <c r="H161" s="3"/>
      <c r="I161" s="3"/>
      <c r="J161" s="9" t="s">
        <v>208</v>
      </c>
      <c r="K161" s="9"/>
      <c r="L161" s="3" t="s">
        <v>200</v>
      </c>
      <c r="M161" s="9" t="s">
        <v>201</v>
      </c>
      <c r="N161" s="9"/>
    </row>
    <row r="162" spans="1:14" ht="15" customHeight="1" x14ac:dyDescent="0.2">
      <c r="A162" s="1" t="s">
        <v>209</v>
      </c>
      <c r="B162" s="6">
        <v>7</v>
      </c>
      <c r="C162" s="1" t="s">
        <v>6</v>
      </c>
      <c r="D162" s="1" t="s">
        <v>203</v>
      </c>
      <c r="E162" s="10" t="s">
        <v>199</v>
      </c>
      <c r="F162" s="10"/>
      <c r="G162" s="7">
        <v>0</v>
      </c>
      <c r="H162" s="1"/>
      <c r="I162" s="1"/>
      <c r="J162" s="10" t="s">
        <v>209</v>
      </c>
      <c r="K162" s="10"/>
      <c r="L162" s="1" t="s">
        <v>200</v>
      </c>
      <c r="M162" s="10" t="s">
        <v>210</v>
      </c>
      <c r="N162" s="10"/>
    </row>
    <row r="163" spans="1:14" ht="15" customHeight="1" x14ac:dyDescent="0.2">
      <c r="A163" s="3" t="s">
        <v>211</v>
      </c>
      <c r="B163" s="4">
        <v>8</v>
      </c>
      <c r="C163" s="3" t="s">
        <v>6</v>
      </c>
      <c r="D163" s="3" t="s">
        <v>198</v>
      </c>
      <c r="E163" s="9" t="s">
        <v>199</v>
      </c>
      <c r="F163" s="9"/>
      <c r="G163" s="5">
        <v>0</v>
      </c>
      <c r="H163" s="3"/>
      <c r="I163" s="3"/>
      <c r="J163" s="9" t="s">
        <v>211</v>
      </c>
      <c r="K163" s="9"/>
      <c r="L163" s="3" t="s">
        <v>200</v>
      </c>
      <c r="M163" s="9" t="s">
        <v>201</v>
      </c>
      <c r="N163" s="9"/>
    </row>
    <row r="164" spans="1:14" ht="15" customHeight="1" x14ac:dyDescent="0.2">
      <c r="A164" s="1" t="s">
        <v>212</v>
      </c>
      <c r="B164" s="6">
        <v>9</v>
      </c>
      <c r="C164" s="1" t="s">
        <v>6</v>
      </c>
      <c r="D164" s="1" t="s">
        <v>203</v>
      </c>
      <c r="E164" s="10" t="s">
        <v>199</v>
      </c>
      <c r="F164" s="10"/>
      <c r="G164" s="7">
        <v>0</v>
      </c>
      <c r="H164" s="1"/>
      <c r="I164" s="1"/>
      <c r="J164" s="10" t="s">
        <v>212</v>
      </c>
      <c r="K164" s="10"/>
      <c r="L164" s="1" t="s">
        <v>200</v>
      </c>
      <c r="M164" s="10" t="s">
        <v>213</v>
      </c>
      <c r="N164" s="10"/>
    </row>
    <row r="165" spans="1:14" ht="15" customHeight="1" x14ac:dyDescent="0.2">
      <c r="A165" s="3" t="s">
        <v>214</v>
      </c>
      <c r="B165" s="4">
        <v>10</v>
      </c>
      <c r="C165" s="3" t="s">
        <v>6</v>
      </c>
      <c r="D165" s="3" t="s">
        <v>198</v>
      </c>
      <c r="E165" s="9" t="s">
        <v>199</v>
      </c>
      <c r="F165" s="9"/>
      <c r="G165" s="5">
        <v>0</v>
      </c>
      <c r="H165" s="3"/>
      <c r="I165" s="3"/>
      <c r="J165" s="9" t="s">
        <v>214</v>
      </c>
      <c r="K165" s="9"/>
      <c r="L165" s="3" t="s">
        <v>200</v>
      </c>
      <c r="M165" s="9" t="s">
        <v>201</v>
      </c>
      <c r="N165" s="9"/>
    </row>
    <row r="166" spans="1:14" ht="15" customHeight="1" x14ac:dyDescent="0.2">
      <c r="A166" s="1" t="s">
        <v>215</v>
      </c>
      <c r="B166" s="6">
        <v>11</v>
      </c>
      <c r="C166" s="1" t="s">
        <v>6</v>
      </c>
      <c r="D166" s="1" t="s">
        <v>203</v>
      </c>
      <c r="E166" s="10" t="s">
        <v>199</v>
      </c>
      <c r="F166" s="10"/>
      <c r="G166" s="7">
        <v>0</v>
      </c>
      <c r="H166" s="1"/>
      <c r="I166" s="1"/>
      <c r="J166" s="10" t="s">
        <v>215</v>
      </c>
      <c r="K166" s="10"/>
      <c r="L166" s="1" t="s">
        <v>200</v>
      </c>
      <c r="M166" s="10" t="s">
        <v>216</v>
      </c>
      <c r="N166" s="10"/>
    </row>
    <row r="167" spans="1:14" ht="15" customHeight="1" x14ac:dyDescent="0.2">
      <c r="A167" s="3" t="s">
        <v>217</v>
      </c>
      <c r="B167" s="4">
        <v>12</v>
      </c>
      <c r="C167" s="3" t="s">
        <v>6</v>
      </c>
      <c r="D167" s="3" t="s">
        <v>198</v>
      </c>
      <c r="E167" s="9" t="s">
        <v>199</v>
      </c>
      <c r="F167" s="9"/>
      <c r="G167" s="5">
        <v>0</v>
      </c>
      <c r="H167" s="3"/>
      <c r="I167" s="3"/>
      <c r="J167" s="9" t="s">
        <v>217</v>
      </c>
      <c r="K167" s="9"/>
      <c r="L167" s="3" t="s">
        <v>200</v>
      </c>
      <c r="M167" s="9" t="s">
        <v>201</v>
      </c>
      <c r="N167" s="9"/>
    </row>
    <row r="168" spans="1:14" ht="15" customHeight="1" x14ac:dyDescent="0.2">
      <c r="A168" s="1" t="s">
        <v>218</v>
      </c>
      <c r="B168" s="6">
        <v>13</v>
      </c>
      <c r="C168" s="1" t="s">
        <v>6</v>
      </c>
      <c r="D168" s="1" t="s">
        <v>198</v>
      </c>
      <c r="E168" s="10" t="s">
        <v>199</v>
      </c>
      <c r="F168" s="10"/>
      <c r="G168" s="7">
        <v>0</v>
      </c>
      <c r="H168" s="1"/>
      <c r="I168" s="1"/>
      <c r="J168" s="10" t="s">
        <v>218</v>
      </c>
      <c r="K168" s="10"/>
      <c r="L168" s="1" t="s">
        <v>200</v>
      </c>
      <c r="M168" s="10" t="s">
        <v>201</v>
      </c>
      <c r="N168" s="10"/>
    </row>
    <row r="169" spans="1:14" ht="15" customHeight="1" x14ac:dyDescent="0.2">
      <c r="A169" s="3" t="s">
        <v>219</v>
      </c>
      <c r="B169" s="4">
        <v>14</v>
      </c>
      <c r="C169" s="3" t="s">
        <v>6</v>
      </c>
      <c r="D169" s="3" t="s">
        <v>198</v>
      </c>
      <c r="E169" s="9" t="s">
        <v>199</v>
      </c>
      <c r="F169" s="9"/>
      <c r="G169" s="5">
        <v>0</v>
      </c>
      <c r="H169" s="3"/>
      <c r="I169" s="3"/>
      <c r="J169" s="9" t="s">
        <v>219</v>
      </c>
      <c r="K169" s="9"/>
      <c r="L169" s="3" t="s">
        <v>200</v>
      </c>
      <c r="M169" s="9" t="s">
        <v>201</v>
      </c>
      <c r="N169" s="9"/>
    </row>
    <row r="170" spans="1:14" ht="15" customHeight="1" x14ac:dyDescent="0.2">
      <c r="A170" s="1" t="s">
        <v>220</v>
      </c>
      <c r="B170" s="6">
        <v>15</v>
      </c>
      <c r="C170" s="1" t="s">
        <v>6</v>
      </c>
      <c r="D170" s="1" t="s">
        <v>203</v>
      </c>
      <c r="E170" s="10" t="s">
        <v>199</v>
      </c>
      <c r="F170" s="10"/>
      <c r="G170" s="7">
        <v>0</v>
      </c>
      <c r="H170" s="1"/>
      <c r="I170" s="1"/>
      <c r="J170" s="10" t="s">
        <v>220</v>
      </c>
      <c r="K170" s="10"/>
      <c r="L170" s="1" t="s">
        <v>200</v>
      </c>
      <c r="M170" s="10" t="s">
        <v>221</v>
      </c>
      <c r="N170" s="10"/>
    </row>
    <row r="171" spans="1:14" ht="15" customHeight="1" x14ac:dyDescent="0.2">
      <c r="A171" s="3" t="s">
        <v>222</v>
      </c>
      <c r="B171" s="4">
        <v>16</v>
      </c>
      <c r="C171" s="3" t="s">
        <v>6</v>
      </c>
      <c r="D171" s="3" t="s">
        <v>203</v>
      </c>
      <c r="E171" s="9" t="s">
        <v>199</v>
      </c>
      <c r="F171" s="9"/>
      <c r="G171" s="5">
        <v>0</v>
      </c>
      <c r="H171" s="3"/>
      <c r="I171" s="3"/>
      <c r="J171" s="9" t="s">
        <v>222</v>
      </c>
      <c r="K171" s="9"/>
      <c r="L171" s="3" t="s">
        <v>200</v>
      </c>
      <c r="M171" s="9"/>
      <c r="N171" s="9"/>
    </row>
    <row r="172" spans="1:14" ht="15" customHeight="1" x14ac:dyDescent="0.2">
      <c r="A172" s="1" t="s">
        <v>222</v>
      </c>
      <c r="B172" s="6">
        <v>17</v>
      </c>
      <c r="C172" s="1" t="s">
        <v>6</v>
      </c>
      <c r="D172" s="1" t="s">
        <v>203</v>
      </c>
      <c r="E172" s="10" t="s">
        <v>199</v>
      </c>
      <c r="F172" s="10"/>
      <c r="G172" s="7">
        <v>0</v>
      </c>
      <c r="H172" s="1"/>
      <c r="I172" s="1"/>
      <c r="J172" s="10" t="s">
        <v>222</v>
      </c>
      <c r="K172" s="10"/>
      <c r="L172" s="1" t="s">
        <v>200</v>
      </c>
      <c r="M172" s="10"/>
      <c r="N172" s="10"/>
    </row>
    <row r="173" spans="1:14" ht="15" customHeight="1" x14ac:dyDescent="0.2">
      <c r="A173" s="3" t="s">
        <v>223</v>
      </c>
      <c r="B173" s="4">
        <v>18</v>
      </c>
      <c r="C173" s="3" t="s">
        <v>6</v>
      </c>
      <c r="D173" s="3" t="s">
        <v>198</v>
      </c>
      <c r="E173" s="9" t="s">
        <v>199</v>
      </c>
      <c r="F173" s="9"/>
      <c r="G173" s="5">
        <v>0</v>
      </c>
      <c r="H173" s="3"/>
      <c r="I173" s="3"/>
      <c r="J173" s="9" t="s">
        <v>223</v>
      </c>
      <c r="K173" s="9"/>
      <c r="L173" s="3" t="s">
        <v>200</v>
      </c>
      <c r="M173" s="9" t="s">
        <v>201</v>
      </c>
      <c r="N173" s="9"/>
    </row>
    <row r="174" spans="1:14" ht="15" customHeight="1" x14ac:dyDescent="0.2">
      <c r="A174" s="1" t="s">
        <v>224</v>
      </c>
      <c r="B174" s="6">
        <v>19</v>
      </c>
      <c r="C174" s="1" t="s">
        <v>6</v>
      </c>
      <c r="D174" s="1" t="s">
        <v>203</v>
      </c>
      <c r="E174" s="10" t="s">
        <v>199</v>
      </c>
      <c r="F174" s="10"/>
      <c r="G174" s="7">
        <v>0</v>
      </c>
      <c r="H174" s="1"/>
      <c r="I174" s="1"/>
      <c r="J174" s="10" t="s">
        <v>224</v>
      </c>
      <c r="K174" s="10"/>
      <c r="L174" s="1" t="s">
        <v>200</v>
      </c>
      <c r="M174" s="10" t="s">
        <v>225</v>
      </c>
      <c r="N174" s="10"/>
    </row>
    <row r="175" spans="1:14" ht="15" customHeight="1" x14ac:dyDescent="0.2">
      <c r="A175" s="3" t="s">
        <v>226</v>
      </c>
      <c r="B175" s="4">
        <v>20</v>
      </c>
      <c r="C175" s="3" t="s">
        <v>6</v>
      </c>
      <c r="D175" s="3" t="s">
        <v>198</v>
      </c>
      <c r="E175" s="9" t="s">
        <v>199</v>
      </c>
      <c r="F175" s="9"/>
      <c r="G175" s="5">
        <v>0</v>
      </c>
      <c r="H175" s="3"/>
      <c r="I175" s="3"/>
      <c r="J175" s="9" t="s">
        <v>226</v>
      </c>
      <c r="K175" s="9"/>
      <c r="L175" s="3" t="s">
        <v>200</v>
      </c>
      <c r="M175" s="9" t="s">
        <v>201</v>
      </c>
      <c r="N175" s="9"/>
    </row>
    <row r="176" spans="1:14" ht="15" customHeight="1" x14ac:dyDescent="0.2">
      <c r="A176" s="1" t="s">
        <v>227</v>
      </c>
      <c r="B176" s="6">
        <v>21</v>
      </c>
      <c r="C176" s="1" t="s">
        <v>6</v>
      </c>
      <c r="D176" s="1" t="s">
        <v>203</v>
      </c>
      <c r="E176" s="10" t="s">
        <v>199</v>
      </c>
      <c r="F176" s="10"/>
      <c r="G176" s="7">
        <v>0</v>
      </c>
      <c r="H176" s="1"/>
      <c r="I176" s="1"/>
      <c r="J176" s="10" t="s">
        <v>227</v>
      </c>
      <c r="K176" s="10"/>
      <c r="L176" s="1" t="s">
        <v>200</v>
      </c>
      <c r="M176" s="10" t="s">
        <v>228</v>
      </c>
      <c r="N176" s="10"/>
    </row>
    <row r="177" spans="1:14" ht="15" customHeight="1" x14ac:dyDescent="0.2">
      <c r="A177" s="3" t="s">
        <v>229</v>
      </c>
      <c r="B177" s="4">
        <v>22</v>
      </c>
      <c r="C177" s="3" t="s">
        <v>6</v>
      </c>
      <c r="D177" s="3" t="s">
        <v>198</v>
      </c>
      <c r="E177" s="9" t="s">
        <v>199</v>
      </c>
      <c r="F177" s="9"/>
      <c r="G177" s="5">
        <v>0</v>
      </c>
      <c r="H177" s="3"/>
      <c r="I177" s="3"/>
      <c r="J177" s="9" t="s">
        <v>229</v>
      </c>
      <c r="K177" s="9"/>
      <c r="L177" s="3" t="s">
        <v>200</v>
      </c>
      <c r="M177" s="9" t="s">
        <v>201</v>
      </c>
      <c r="N177" s="9"/>
    </row>
    <row r="178" spans="1:14" ht="15" customHeight="1" x14ac:dyDescent="0.2">
      <c r="A178" s="1" t="s">
        <v>230</v>
      </c>
      <c r="B178" s="6">
        <v>23</v>
      </c>
      <c r="C178" s="1" t="s">
        <v>6</v>
      </c>
      <c r="D178" s="1" t="s">
        <v>203</v>
      </c>
      <c r="E178" s="10" t="s">
        <v>199</v>
      </c>
      <c r="F178" s="10"/>
      <c r="G178" s="7">
        <v>0</v>
      </c>
      <c r="H178" s="1"/>
      <c r="I178" s="1"/>
      <c r="J178" s="10" t="s">
        <v>230</v>
      </c>
      <c r="K178" s="10"/>
      <c r="L178" s="1" t="s">
        <v>200</v>
      </c>
      <c r="M178" s="10" t="s">
        <v>231</v>
      </c>
      <c r="N178" s="10"/>
    </row>
    <row r="179" spans="1:14" ht="15" customHeight="1" x14ac:dyDescent="0.2">
      <c r="A179" s="3" t="s">
        <v>232</v>
      </c>
      <c r="B179" s="4">
        <v>24</v>
      </c>
      <c r="C179" s="3" t="s">
        <v>6</v>
      </c>
      <c r="D179" s="3" t="s">
        <v>198</v>
      </c>
      <c r="E179" s="9" t="s">
        <v>199</v>
      </c>
      <c r="F179" s="9"/>
      <c r="G179" s="5">
        <v>0</v>
      </c>
      <c r="H179" s="3"/>
      <c r="I179" s="3"/>
      <c r="J179" s="9" t="s">
        <v>232</v>
      </c>
      <c r="K179" s="9"/>
      <c r="L179" s="3" t="s">
        <v>200</v>
      </c>
      <c r="M179" s="9" t="s">
        <v>201</v>
      </c>
      <c r="N179" s="9"/>
    </row>
    <row r="180" spans="1:14" ht="15" customHeight="1" x14ac:dyDescent="0.2">
      <c r="A180" s="1" t="s">
        <v>233</v>
      </c>
      <c r="B180" s="6">
        <v>25</v>
      </c>
      <c r="C180" s="1" t="s">
        <v>6</v>
      </c>
      <c r="D180" s="1" t="s">
        <v>203</v>
      </c>
      <c r="E180" s="10" t="s">
        <v>199</v>
      </c>
      <c r="F180" s="10"/>
      <c r="G180" s="7">
        <v>0</v>
      </c>
      <c r="H180" s="1"/>
      <c r="I180" s="1"/>
      <c r="J180" s="10" t="s">
        <v>233</v>
      </c>
      <c r="K180" s="10"/>
      <c r="L180" s="1" t="s">
        <v>200</v>
      </c>
      <c r="M180" s="10" t="s">
        <v>234</v>
      </c>
      <c r="N180" s="10"/>
    </row>
    <row r="181" spans="1:14" ht="15" customHeight="1" x14ac:dyDescent="0.2">
      <c r="A181" s="3" t="s">
        <v>235</v>
      </c>
      <c r="B181" s="4">
        <v>26</v>
      </c>
      <c r="C181" s="3" t="s">
        <v>6</v>
      </c>
      <c r="D181" s="3" t="s">
        <v>198</v>
      </c>
      <c r="E181" s="9" t="s">
        <v>199</v>
      </c>
      <c r="F181" s="9"/>
      <c r="G181" s="5">
        <v>0</v>
      </c>
      <c r="H181" s="3"/>
      <c r="I181" s="3"/>
      <c r="J181" s="9" t="s">
        <v>235</v>
      </c>
      <c r="K181" s="9"/>
      <c r="L181" s="3" t="s">
        <v>200</v>
      </c>
      <c r="M181" s="9" t="s">
        <v>201</v>
      </c>
      <c r="N181" s="9"/>
    </row>
    <row r="182" spans="1:14" ht="15" customHeight="1" x14ac:dyDescent="0.2">
      <c r="A182" s="1" t="s">
        <v>236</v>
      </c>
      <c r="B182" s="6">
        <v>27</v>
      </c>
      <c r="C182" s="1" t="s">
        <v>6</v>
      </c>
      <c r="D182" s="1" t="s">
        <v>203</v>
      </c>
      <c r="E182" s="10" t="s">
        <v>199</v>
      </c>
      <c r="F182" s="10"/>
      <c r="G182" s="7">
        <v>0</v>
      </c>
      <c r="H182" s="1"/>
      <c r="I182" s="1"/>
      <c r="J182" s="10" t="s">
        <v>236</v>
      </c>
      <c r="K182" s="10"/>
      <c r="L182" s="1" t="s">
        <v>200</v>
      </c>
      <c r="M182" s="10" t="s">
        <v>237</v>
      </c>
      <c r="N182" s="10"/>
    </row>
    <row r="183" spans="1:14" ht="15" customHeight="1" x14ac:dyDescent="0.2">
      <c r="A183" s="3" t="s">
        <v>238</v>
      </c>
      <c r="B183" s="4">
        <v>28</v>
      </c>
      <c r="C183" s="3" t="s">
        <v>6</v>
      </c>
      <c r="D183" s="3" t="s">
        <v>198</v>
      </c>
      <c r="E183" s="9" t="s">
        <v>199</v>
      </c>
      <c r="F183" s="9"/>
      <c r="G183" s="5">
        <v>0</v>
      </c>
      <c r="H183" s="3"/>
      <c r="I183" s="3"/>
      <c r="J183" s="9" t="s">
        <v>238</v>
      </c>
      <c r="K183" s="9"/>
      <c r="L183" s="3" t="s">
        <v>200</v>
      </c>
      <c r="M183" s="9" t="s">
        <v>201</v>
      </c>
      <c r="N183" s="9"/>
    </row>
    <row r="184" spans="1:14" ht="15" customHeight="1" x14ac:dyDescent="0.2">
      <c r="A184" s="1" t="s">
        <v>239</v>
      </c>
      <c r="B184" s="6">
        <v>29</v>
      </c>
      <c r="C184" s="1" t="s">
        <v>6</v>
      </c>
      <c r="D184" s="1" t="s">
        <v>198</v>
      </c>
      <c r="E184" s="10" t="s">
        <v>199</v>
      </c>
      <c r="F184" s="10"/>
      <c r="G184" s="7">
        <v>0</v>
      </c>
      <c r="H184" s="1"/>
      <c r="I184" s="1"/>
      <c r="J184" s="10" t="s">
        <v>239</v>
      </c>
      <c r="K184" s="10"/>
      <c r="L184" s="1" t="s">
        <v>200</v>
      </c>
      <c r="M184" s="10" t="s">
        <v>201</v>
      </c>
      <c r="N184" s="10"/>
    </row>
    <row r="185" spans="1:14" ht="15" customHeight="1" x14ac:dyDescent="0.2">
      <c r="A185" s="3" t="s">
        <v>240</v>
      </c>
      <c r="B185" s="4">
        <v>30</v>
      </c>
      <c r="C185" s="3" t="s">
        <v>6</v>
      </c>
      <c r="D185" s="3" t="s">
        <v>203</v>
      </c>
      <c r="E185" s="9" t="s">
        <v>199</v>
      </c>
      <c r="F185" s="9"/>
      <c r="G185" s="5">
        <v>0</v>
      </c>
      <c r="H185" s="3"/>
      <c r="I185" s="3"/>
      <c r="J185" s="9" t="s">
        <v>240</v>
      </c>
      <c r="K185" s="9"/>
      <c r="L185" s="3" t="s">
        <v>200</v>
      </c>
      <c r="M185" s="9" t="s">
        <v>241</v>
      </c>
      <c r="N185" s="9"/>
    </row>
    <row r="186" spans="1:14" ht="15" customHeight="1" x14ac:dyDescent="0.2">
      <c r="A186" s="1" t="s">
        <v>242</v>
      </c>
      <c r="B186" s="6">
        <v>31</v>
      </c>
      <c r="C186" s="1" t="s">
        <v>6</v>
      </c>
      <c r="D186" s="1" t="s">
        <v>203</v>
      </c>
      <c r="E186" s="10" t="s">
        <v>199</v>
      </c>
      <c r="F186" s="10"/>
      <c r="G186" s="7">
        <v>0</v>
      </c>
      <c r="H186" s="1"/>
      <c r="I186" s="1"/>
      <c r="J186" s="10" t="s">
        <v>242</v>
      </c>
      <c r="K186" s="10"/>
      <c r="L186" s="1" t="s">
        <v>200</v>
      </c>
      <c r="M186" s="10" t="s">
        <v>243</v>
      </c>
      <c r="N186" s="10"/>
    </row>
    <row r="187" spans="1:14" ht="15" customHeight="1" x14ac:dyDescent="0.2">
      <c r="A187" s="3" t="s">
        <v>244</v>
      </c>
      <c r="B187" s="4">
        <v>32</v>
      </c>
      <c r="C187" s="3" t="s">
        <v>6</v>
      </c>
      <c r="D187" s="3" t="s">
        <v>198</v>
      </c>
      <c r="E187" s="9" t="s">
        <v>199</v>
      </c>
      <c r="F187" s="9"/>
      <c r="G187" s="5">
        <v>0</v>
      </c>
      <c r="H187" s="3"/>
      <c r="I187" s="3"/>
      <c r="J187" s="9" t="s">
        <v>244</v>
      </c>
      <c r="K187" s="9"/>
      <c r="L187" s="3" t="s">
        <v>200</v>
      </c>
      <c r="M187" s="9" t="s">
        <v>201</v>
      </c>
      <c r="N187" s="9"/>
    </row>
    <row r="188" spans="1:14" ht="15" customHeight="1" x14ac:dyDescent="0.2">
      <c r="A188" s="1" t="s">
        <v>245</v>
      </c>
      <c r="B188" s="6">
        <v>33</v>
      </c>
      <c r="C188" s="1" t="s">
        <v>6</v>
      </c>
      <c r="D188" s="1" t="s">
        <v>203</v>
      </c>
      <c r="E188" s="10" t="s">
        <v>199</v>
      </c>
      <c r="F188" s="10"/>
      <c r="G188" s="7">
        <v>0</v>
      </c>
      <c r="H188" s="1"/>
      <c r="I188" s="1"/>
      <c r="J188" s="10" t="s">
        <v>245</v>
      </c>
      <c r="K188" s="10"/>
      <c r="L188" s="1" t="s">
        <v>200</v>
      </c>
      <c r="M188" s="10" t="s">
        <v>246</v>
      </c>
      <c r="N188" s="10"/>
    </row>
    <row r="189" spans="1:14" ht="15" customHeight="1" x14ac:dyDescent="0.2">
      <c r="A189" s="3" t="s">
        <v>247</v>
      </c>
      <c r="B189" s="4">
        <v>34</v>
      </c>
      <c r="C189" s="3" t="s">
        <v>6</v>
      </c>
      <c r="D189" s="3" t="s">
        <v>198</v>
      </c>
      <c r="E189" s="9" t="s">
        <v>199</v>
      </c>
      <c r="F189" s="9"/>
      <c r="G189" s="5">
        <v>0</v>
      </c>
      <c r="H189" s="3"/>
      <c r="I189" s="3"/>
      <c r="J189" s="9" t="s">
        <v>247</v>
      </c>
      <c r="K189" s="9"/>
      <c r="L189" s="3" t="s">
        <v>200</v>
      </c>
      <c r="M189" s="9" t="s">
        <v>201</v>
      </c>
      <c r="N189" s="9"/>
    </row>
    <row r="190" spans="1:14" ht="15" customHeight="1" x14ac:dyDescent="0.2">
      <c r="A190" s="1" t="s">
        <v>248</v>
      </c>
      <c r="B190" s="6">
        <v>35</v>
      </c>
      <c r="C190" s="1" t="s">
        <v>6</v>
      </c>
      <c r="D190" s="1" t="s">
        <v>203</v>
      </c>
      <c r="E190" s="10" t="s">
        <v>199</v>
      </c>
      <c r="F190" s="10"/>
      <c r="G190" s="7">
        <v>0</v>
      </c>
      <c r="H190" s="1"/>
      <c r="I190" s="1"/>
      <c r="J190" s="10" t="s">
        <v>248</v>
      </c>
      <c r="K190" s="10"/>
      <c r="L190" s="1" t="s">
        <v>200</v>
      </c>
      <c r="M190" s="10" t="s">
        <v>249</v>
      </c>
      <c r="N190" s="10"/>
    </row>
    <row r="191" spans="1:14" ht="15" customHeight="1" x14ac:dyDescent="0.2">
      <c r="A191" s="3" t="s">
        <v>250</v>
      </c>
      <c r="B191" s="4">
        <v>36</v>
      </c>
      <c r="C191" s="3" t="s">
        <v>6</v>
      </c>
      <c r="D191" s="3" t="s">
        <v>198</v>
      </c>
      <c r="E191" s="9" t="s">
        <v>199</v>
      </c>
      <c r="F191" s="9"/>
      <c r="G191" s="5">
        <v>0</v>
      </c>
      <c r="H191" s="3"/>
      <c r="I191" s="3"/>
      <c r="J191" s="9" t="s">
        <v>250</v>
      </c>
      <c r="K191" s="9"/>
      <c r="L191" s="3" t="s">
        <v>200</v>
      </c>
      <c r="M191" s="9" t="s">
        <v>201</v>
      </c>
      <c r="N191" s="9"/>
    </row>
    <row r="192" spans="1:14" ht="15" customHeight="1" x14ac:dyDescent="0.2">
      <c r="A192" s="1" t="s">
        <v>251</v>
      </c>
      <c r="B192" s="6">
        <v>37</v>
      </c>
      <c r="C192" s="1" t="s">
        <v>6</v>
      </c>
      <c r="D192" s="1" t="s">
        <v>203</v>
      </c>
      <c r="E192" s="10" t="s">
        <v>199</v>
      </c>
      <c r="F192" s="10"/>
      <c r="G192" s="7">
        <v>0</v>
      </c>
      <c r="H192" s="1"/>
      <c r="I192" s="1"/>
      <c r="J192" s="10" t="s">
        <v>251</v>
      </c>
      <c r="K192" s="10"/>
      <c r="L192" s="1" t="s">
        <v>200</v>
      </c>
      <c r="M192" s="10" t="s">
        <v>252</v>
      </c>
      <c r="N192" s="10"/>
    </row>
    <row r="193" spans="1:14" ht="15" customHeight="1" x14ac:dyDescent="0.2">
      <c r="A193" s="3" t="s">
        <v>253</v>
      </c>
      <c r="B193" s="4">
        <v>38</v>
      </c>
      <c r="C193" s="3" t="s">
        <v>6</v>
      </c>
      <c r="D193" s="3" t="s">
        <v>198</v>
      </c>
      <c r="E193" s="9" t="s">
        <v>199</v>
      </c>
      <c r="F193" s="9"/>
      <c r="G193" s="5">
        <v>0</v>
      </c>
      <c r="H193" s="3"/>
      <c r="I193" s="3"/>
      <c r="J193" s="9" t="s">
        <v>253</v>
      </c>
      <c r="K193" s="9"/>
      <c r="L193" s="3" t="s">
        <v>200</v>
      </c>
      <c r="M193" s="9" t="s">
        <v>201</v>
      </c>
      <c r="N193" s="9"/>
    </row>
    <row r="194" spans="1:14" ht="15" customHeight="1" x14ac:dyDescent="0.2">
      <c r="A194" s="1" t="s">
        <v>254</v>
      </c>
      <c r="B194" s="6">
        <v>39</v>
      </c>
      <c r="C194" s="1" t="s">
        <v>6</v>
      </c>
      <c r="D194" s="1" t="s">
        <v>203</v>
      </c>
      <c r="E194" s="10" t="s">
        <v>199</v>
      </c>
      <c r="F194" s="10"/>
      <c r="G194" s="7">
        <v>0</v>
      </c>
      <c r="H194" s="1"/>
      <c r="I194" s="1"/>
      <c r="J194" s="10" t="s">
        <v>254</v>
      </c>
      <c r="K194" s="10"/>
      <c r="L194" s="1" t="s">
        <v>200</v>
      </c>
      <c r="M194" s="10" t="s">
        <v>255</v>
      </c>
      <c r="N194" s="10"/>
    </row>
    <row r="195" spans="1:14" ht="15" customHeight="1" x14ac:dyDescent="0.2">
      <c r="A195" s="3" t="s">
        <v>256</v>
      </c>
      <c r="B195" s="4">
        <v>40</v>
      </c>
      <c r="C195" s="3" t="s">
        <v>6</v>
      </c>
      <c r="D195" s="3" t="s">
        <v>198</v>
      </c>
      <c r="E195" s="9" t="s">
        <v>199</v>
      </c>
      <c r="F195" s="9"/>
      <c r="G195" s="5">
        <v>0</v>
      </c>
      <c r="H195" s="3"/>
      <c r="I195" s="3"/>
      <c r="J195" s="9" t="s">
        <v>256</v>
      </c>
      <c r="K195" s="9"/>
      <c r="L195" s="3" t="s">
        <v>200</v>
      </c>
      <c r="M195" s="9" t="s">
        <v>201</v>
      </c>
      <c r="N195" s="9"/>
    </row>
    <row r="196" spans="1:14" ht="15" customHeight="1" x14ac:dyDescent="0.2">
      <c r="A196" s="1" t="s">
        <v>257</v>
      </c>
      <c r="B196" s="6">
        <v>41</v>
      </c>
      <c r="C196" s="1" t="s">
        <v>6</v>
      </c>
      <c r="D196" s="1" t="s">
        <v>203</v>
      </c>
      <c r="E196" s="10" t="s">
        <v>199</v>
      </c>
      <c r="F196" s="10"/>
      <c r="G196" s="7">
        <v>0</v>
      </c>
      <c r="H196" s="1"/>
      <c r="I196" s="1"/>
      <c r="J196" s="10" t="s">
        <v>257</v>
      </c>
      <c r="K196" s="10"/>
      <c r="L196" s="1" t="s">
        <v>200</v>
      </c>
      <c r="M196" s="10" t="s">
        <v>258</v>
      </c>
      <c r="N196" s="10"/>
    </row>
    <row r="197" spans="1:14" ht="15" customHeight="1" x14ac:dyDescent="0.2">
      <c r="A197" s="3" t="s">
        <v>259</v>
      </c>
      <c r="B197" s="4">
        <v>42</v>
      </c>
      <c r="C197" s="3" t="s">
        <v>6</v>
      </c>
      <c r="D197" s="3" t="s">
        <v>198</v>
      </c>
      <c r="E197" s="9" t="s">
        <v>199</v>
      </c>
      <c r="F197" s="9"/>
      <c r="G197" s="5">
        <v>0</v>
      </c>
      <c r="H197" s="3"/>
      <c r="I197" s="3"/>
      <c r="J197" s="9" t="s">
        <v>259</v>
      </c>
      <c r="K197" s="9"/>
      <c r="L197" s="3" t="s">
        <v>200</v>
      </c>
      <c r="M197" s="9" t="s">
        <v>201</v>
      </c>
      <c r="N197" s="9"/>
    </row>
    <row r="198" spans="1:14" ht="15" customHeight="1" x14ac:dyDescent="0.2">
      <c r="A198" s="1" t="s">
        <v>260</v>
      </c>
      <c r="B198" s="6">
        <v>43</v>
      </c>
      <c r="C198" s="1" t="s">
        <v>6</v>
      </c>
      <c r="D198" s="1" t="s">
        <v>203</v>
      </c>
      <c r="E198" s="10" t="s">
        <v>199</v>
      </c>
      <c r="F198" s="10"/>
      <c r="G198" s="7">
        <v>0</v>
      </c>
      <c r="H198" s="1"/>
      <c r="I198" s="1"/>
      <c r="J198" s="10" t="s">
        <v>260</v>
      </c>
      <c r="K198" s="10"/>
      <c r="L198" s="1" t="s">
        <v>200</v>
      </c>
      <c r="M198" s="10"/>
      <c r="N198" s="10"/>
    </row>
    <row r="199" spans="1:14" ht="15" customHeight="1" x14ac:dyDescent="0.2">
      <c r="A199" s="3" t="s">
        <v>261</v>
      </c>
      <c r="B199" s="4">
        <v>44</v>
      </c>
      <c r="C199" s="3" t="s">
        <v>6</v>
      </c>
      <c r="D199" s="3" t="s">
        <v>198</v>
      </c>
      <c r="E199" s="9" t="s">
        <v>199</v>
      </c>
      <c r="F199" s="9"/>
      <c r="G199" s="5">
        <v>0</v>
      </c>
      <c r="H199" s="3"/>
      <c r="I199" s="3"/>
      <c r="J199" s="9" t="s">
        <v>261</v>
      </c>
      <c r="K199" s="9"/>
      <c r="L199" s="3" t="s">
        <v>200</v>
      </c>
      <c r="M199" s="9" t="s">
        <v>201</v>
      </c>
      <c r="N199" s="9"/>
    </row>
    <row r="200" spans="1:14" ht="15" customHeight="1" x14ac:dyDescent="0.2">
      <c r="A200" s="1" t="s">
        <v>262</v>
      </c>
      <c r="B200" s="6">
        <v>45</v>
      </c>
      <c r="C200" s="1" t="s">
        <v>6</v>
      </c>
      <c r="D200" s="1" t="s">
        <v>198</v>
      </c>
      <c r="E200" s="10" t="s">
        <v>199</v>
      </c>
      <c r="F200" s="10"/>
      <c r="G200" s="7">
        <v>0</v>
      </c>
      <c r="H200" s="1"/>
      <c r="I200" s="1"/>
      <c r="J200" s="10" t="s">
        <v>262</v>
      </c>
      <c r="K200" s="10"/>
      <c r="L200" s="1" t="s">
        <v>200</v>
      </c>
      <c r="M200" s="10" t="s">
        <v>201</v>
      </c>
      <c r="N200" s="10"/>
    </row>
    <row r="201" spans="1:14" ht="15" customHeight="1" x14ac:dyDescent="0.2">
      <c r="A201" s="3" t="s">
        <v>263</v>
      </c>
      <c r="B201" s="4">
        <v>46</v>
      </c>
      <c r="C201" s="3" t="s">
        <v>6</v>
      </c>
      <c r="D201" s="3" t="s">
        <v>198</v>
      </c>
      <c r="E201" s="9" t="s">
        <v>199</v>
      </c>
      <c r="F201" s="9"/>
      <c r="G201" s="5">
        <v>0</v>
      </c>
      <c r="H201" s="3"/>
      <c r="I201" s="3"/>
      <c r="J201" s="9" t="s">
        <v>263</v>
      </c>
      <c r="K201" s="9"/>
      <c r="L201" s="3" t="s">
        <v>200</v>
      </c>
      <c r="M201" s="9" t="s">
        <v>201</v>
      </c>
      <c r="N201" s="9"/>
    </row>
    <row r="202" spans="1:14" ht="15" customHeight="1" x14ac:dyDescent="0.2">
      <c r="A202" s="1" t="s">
        <v>264</v>
      </c>
      <c r="B202" s="6">
        <v>47</v>
      </c>
      <c r="C202" s="1" t="s">
        <v>6</v>
      </c>
      <c r="D202" s="1" t="s">
        <v>203</v>
      </c>
      <c r="E202" s="10" t="s">
        <v>199</v>
      </c>
      <c r="F202" s="10"/>
      <c r="G202" s="7">
        <v>0</v>
      </c>
      <c r="H202" s="1"/>
      <c r="I202" s="1"/>
      <c r="J202" s="10" t="s">
        <v>264</v>
      </c>
      <c r="K202" s="10"/>
      <c r="L202" s="1" t="s">
        <v>200</v>
      </c>
      <c r="M202" s="10" t="s">
        <v>265</v>
      </c>
      <c r="N202" s="10"/>
    </row>
    <row r="203" spans="1:14" ht="15" customHeight="1" x14ac:dyDescent="0.2">
      <c r="A203" s="3" t="s">
        <v>266</v>
      </c>
      <c r="B203" s="4">
        <v>48</v>
      </c>
      <c r="C203" s="3" t="s">
        <v>6</v>
      </c>
      <c r="D203" s="3" t="s">
        <v>203</v>
      </c>
      <c r="E203" s="9" t="s">
        <v>199</v>
      </c>
      <c r="F203" s="9"/>
      <c r="G203" s="5">
        <v>0</v>
      </c>
      <c r="H203" s="3"/>
      <c r="I203" s="3"/>
      <c r="J203" s="9" t="s">
        <v>266</v>
      </c>
      <c r="K203" s="9"/>
      <c r="L203" s="3" t="s">
        <v>200</v>
      </c>
      <c r="M203" s="9" t="s">
        <v>267</v>
      </c>
      <c r="N203" s="9"/>
    </row>
    <row r="204" spans="1:14" ht="15" customHeight="1" x14ac:dyDescent="0.2">
      <c r="A204" s="1" t="s">
        <v>268</v>
      </c>
      <c r="B204" s="6">
        <v>49</v>
      </c>
      <c r="C204" s="1" t="s">
        <v>6</v>
      </c>
      <c r="D204" s="1" t="s">
        <v>203</v>
      </c>
      <c r="E204" s="10" t="s">
        <v>199</v>
      </c>
      <c r="F204" s="10"/>
      <c r="G204" s="7">
        <v>0</v>
      </c>
      <c r="H204" s="1"/>
      <c r="I204" s="1"/>
      <c r="J204" s="10" t="s">
        <v>268</v>
      </c>
      <c r="K204" s="10"/>
      <c r="L204" s="1" t="s">
        <v>200</v>
      </c>
      <c r="M204" s="10" t="s">
        <v>269</v>
      </c>
      <c r="N204" s="10"/>
    </row>
    <row r="205" spans="1:14" ht="15" customHeight="1" x14ac:dyDescent="0.2">
      <c r="A205" s="3" t="s">
        <v>270</v>
      </c>
      <c r="B205" s="4">
        <v>50</v>
      </c>
      <c r="C205" s="3" t="s">
        <v>6</v>
      </c>
      <c r="D205" s="3" t="s">
        <v>198</v>
      </c>
      <c r="E205" s="9" t="s">
        <v>199</v>
      </c>
      <c r="F205" s="9"/>
      <c r="G205" s="5">
        <v>0</v>
      </c>
      <c r="H205" s="3"/>
      <c r="I205" s="3"/>
      <c r="J205" s="9" t="s">
        <v>270</v>
      </c>
      <c r="K205" s="9"/>
      <c r="L205" s="3" t="s">
        <v>200</v>
      </c>
      <c r="M205" s="9" t="s">
        <v>201</v>
      </c>
      <c r="N205" s="9"/>
    </row>
    <row r="206" spans="1:14" ht="15" customHeight="1" x14ac:dyDescent="0.2">
      <c r="A206" s="1" t="s">
        <v>271</v>
      </c>
      <c r="B206" s="6">
        <v>51</v>
      </c>
      <c r="C206" s="1" t="s">
        <v>6</v>
      </c>
      <c r="D206" s="1" t="s">
        <v>203</v>
      </c>
      <c r="E206" s="10" t="s">
        <v>199</v>
      </c>
      <c r="F206" s="10"/>
      <c r="G206" s="7">
        <v>0</v>
      </c>
      <c r="H206" s="1"/>
      <c r="I206" s="1"/>
      <c r="J206" s="10" t="s">
        <v>271</v>
      </c>
      <c r="K206" s="10"/>
      <c r="L206" s="1" t="s">
        <v>200</v>
      </c>
      <c r="M206" s="10" t="s">
        <v>272</v>
      </c>
      <c r="N206" s="10"/>
    </row>
    <row r="207" spans="1:14" ht="15" customHeight="1" x14ac:dyDescent="0.2">
      <c r="A207" s="3" t="s">
        <v>273</v>
      </c>
      <c r="B207" s="4">
        <v>52</v>
      </c>
      <c r="C207" s="3" t="s">
        <v>6</v>
      </c>
      <c r="D207" s="3" t="s">
        <v>198</v>
      </c>
      <c r="E207" s="9" t="s">
        <v>199</v>
      </c>
      <c r="F207" s="9"/>
      <c r="G207" s="5">
        <v>0</v>
      </c>
      <c r="H207" s="3"/>
      <c r="I207" s="3"/>
      <c r="J207" s="9" t="s">
        <v>273</v>
      </c>
      <c r="K207" s="9"/>
      <c r="L207" s="3" t="s">
        <v>200</v>
      </c>
      <c r="M207" s="9" t="s">
        <v>201</v>
      </c>
      <c r="N207" s="9"/>
    </row>
    <row r="208" spans="1:14" ht="15" customHeight="1" x14ac:dyDescent="0.2">
      <c r="A208" s="1" t="s">
        <v>274</v>
      </c>
      <c r="B208" s="6">
        <v>53</v>
      </c>
      <c r="C208" s="1" t="s">
        <v>6</v>
      </c>
      <c r="D208" s="1" t="s">
        <v>203</v>
      </c>
      <c r="E208" s="10" t="s">
        <v>199</v>
      </c>
      <c r="F208" s="10"/>
      <c r="G208" s="7">
        <v>0</v>
      </c>
      <c r="H208" s="1"/>
      <c r="I208" s="1"/>
      <c r="J208" s="10" t="s">
        <v>274</v>
      </c>
      <c r="K208" s="10"/>
      <c r="L208" s="1" t="s">
        <v>200</v>
      </c>
      <c r="M208" s="10"/>
      <c r="N208" s="10"/>
    </row>
    <row r="209" spans="1:14" ht="15" customHeight="1" x14ac:dyDescent="0.2">
      <c r="A209" s="3" t="s">
        <v>275</v>
      </c>
      <c r="B209" s="4">
        <v>54</v>
      </c>
      <c r="C209" s="3" t="s">
        <v>6</v>
      </c>
      <c r="D209" s="3" t="s">
        <v>198</v>
      </c>
      <c r="E209" s="9" t="s">
        <v>199</v>
      </c>
      <c r="F209" s="9"/>
      <c r="G209" s="5">
        <v>0</v>
      </c>
      <c r="H209" s="3"/>
      <c r="I209" s="3"/>
      <c r="J209" s="9" t="s">
        <v>275</v>
      </c>
      <c r="K209" s="9"/>
      <c r="L209" s="3" t="s">
        <v>200</v>
      </c>
      <c r="M209" s="9" t="s">
        <v>201</v>
      </c>
      <c r="N209" s="9"/>
    </row>
    <row r="210" spans="1:14" ht="15" customHeight="1" x14ac:dyDescent="0.2">
      <c r="A210" s="1" t="s">
        <v>276</v>
      </c>
      <c r="B210" s="6">
        <v>55</v>
      </c>
      <c r="C210" s="1" t="s">
        <v>6</v>
      </c>
      <c r="D210" s="1" t="s">
        <v>203</v>
      </c>
      <c r="E210" s="10" t="s">
        <v>199</v>
      </c>
      <c r="F210" s="10"/>
      <c r="G210" s="7">
        <v>0</v>
      </c>
      <c r="H210" s="1"/>
      <c r="I210" s="1"/>
      <c r="J210" s="10" t="s">
        <v>276</v>
      </c>
      <c r="K210" s="10"/>
      <c r="L210" s="1" t="s">
        <v>200</v>
      </c>
      <c r="M210" s="10" t="s">
        <v>277</v>
      </c>
      <c r="N210" s="10"/>
    </row>
    <row r="211" spans="1:14" ht="15" customHeight="1" x14ac:dyDescent="0.2">
      <c r="A211" s="3" t="s">
        <v>278</v>
      </c>
      <c r="B211" s="4">
        <v>56</v>
      </c>
      <c r="C211" s="3" t="s">
        <v>6</v>
      </c>
      <c r="D211" s="3" t="s">
        <v>198</v>
      </c>
      <c r="E211" s="9" t="s">
        <v>199</v>
      </c>
      <c r="F211" s="9"/>
      <c r="G211" s="5">
        <v>0</v>
      </c>
      <c r="H211" s="3"/>
      <c r="I211" s="3"/>
      <c r="J211" s="9" t="s">
        <v>278</v>
      </c>
      <c r="K211" s="9"/>
      <c r="L211" s="3" t="s">
        <v>200</v>
      </c>
      <c r="M211" s="9" t="s">
        <v>201</v>
      </c>
      <c r="N211" s="9"/>
    </row>
    <row r="212" spans="1:14" ht="15" customHeight="1" x14ac:dyDescent="0.2">
      <c r="A212" s="1" t="s">
        <v>279</v>
      </c>
      <c r="B212" s="6">
        <v>57</v>
      </c>
      <c r="C212" s="1" t="s">
        <v>6</v>
      </c>
      <c r="D212" s="1" t="s">
        <v>203</v>
      </c>
      <c r="E212" s="10" t="s">
        <v>199</v>
      </c>
      <c r="F212" s="10"/>
      <c r="G212" s="7">
        <v>0</v>
      </c>
      <c r="H212" s="1"/>
      <c r="I212" s="1"/>
      <c r="J212" s="10" t="s">
        <v>279</v>
      </c>
      <c r="K212" s="10"/>
      <c r="L212" s="1" t="s">
        <v>200</v>
      </c>
      <c r="M212" s="10" t="s">
        <v>280</v>
      </c>
      <c r="N212" s="10"/>
    </row>
    <row r="213" spans="1:14" ht="15" customHeight="1" x14ac:dyDescent="0.2">
      <c r="A213" s="3" t="s">
        <v>281</v>
      </c>
      <c r="B213" s="4">
        <v>58</v>
      </c>
      <c r="C213" s="3" t="s">
        <v>6</v>
      </c>
      <c r="D213" s="3" t="s">
        <v>198</v>
      </c>
      <c r="E213" s="9" t="s">
        <v>199</v>
      </c>
      <c r="F213" s="9"/>
      <c r="G213" s="5">
        <v>0</v>
      </c>
      <c r="H213" s="3"/>
      <c r="I213" s="3"/>
      <c r="J213" s="9" t="s">
        <v>281</v>
      </c>
      <c r="K213" s="9"/>
      <c r="L213" s="3" t="s">
        <v>200</v>
      </c>
      <c r="M213" s="9" t="s">
        <v>201</v>
      </c>
      <c r="N213" s="9"/>
    </row>
    <row r="214" spans="1:14" ht="15" customHeight="1" x14ac:dyDescent="0.2">
      <c r="A214" s="1" t="s">
        <v>282</v>
      </c>
      <c r="B214" s="6">
        <v>59</v>
      </c>
      <c r="C214" s="1" t="s">
        <v>6</v>
      </c>
      <c r="D214" s="1" t="s">
        <v>203</v>
      </c>
      <c r="E214" s="10" t="s">
        <v>199</v>
      </c>
      <c r="F214" s="10"/>
      <c r="G214" s="7">
        <v>0</v>
      </c>
      <c r="H214" s="1"/>
      <c r="I214" s="1"/>
      <c r="J214" s="10" t="s">
        <v>282</v>
      </c>
      <c r="K214" s="10"/>
      <c r="L214" s="1" t="s">
        <v>200</v>
      </c>
      <c r="M214" s="10"/>
      <c r="N214" s="10"/>
    </row>
    <row r="215" spans="1:14" ht="20.100000000000001" customHeight="1" x14ac:dyDescent="0.2">
      <c r="A215" s="12" t="s">
        <v>283</v>
      </c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</row>
    <row r="216" spans="1:14" ht="20.100000000000001" customHeight="1" x14ac:dyDescent="0.2">
      <c r="A216" s="2" t="s">
        <v>194</v>
      </c>
      <c r="B216" s="2" t="s">
        <v>284</v>
      </c>
      <c r="C216" s="2" t="s">
        <v>188</v>
      </c>
      <c r="D216" s="2" t="s">
        <v>189</v>
      </c>
      <c r="E216" s="2" t="s">
        <v>285</v>
      </c>
      <c r="F216" s="2" t="s">
        <v>190</v>
      </c>
      <c r="G216" s="2" t="s">
        <v>191</v>
      </c>
      <c r="H216" s="2" t="s">
        <v>187</v>
      </c>
      <c r="I216" s="2" t="s">
        <v>286</v>
      </c>
      <c r="J216" s="2" t="s">
        <v>287</v>
      </c>
      <c r="K216" s="2" t="s">
        <v>288</v>
      </c>
      <c r="L216" s="2" t="s">
        <v>289</v>
      </c>
      <c r="M216" s="13" t="s">
        <v>196</v>
      </c>
      <c r="N216" s="13"/>
    </row>
    <row r="217" spans="1:14" ht="15" customHeight="1" x14ac:dyDescent="0.2">
      <c r="A217" s="3" t="s">
        <v>290</v>
      </c>
      <c r="B217" s="4">
        <v>1</v>
      </c>
      <c r="C217" s="3"/>
      <c r="D217" s="3" t="s">
        <v>291</v>
      </c>
      <c r="E217" s="3"/>
      <c r="F217" s="3"/>
      <c r="G217" s="3"/>
      <c r="H217" s="3"/>
      <c r="I217" s="5">
        <v>0</v>
      </c>
      <c r="J217" s="5">
        <v>0</v>
      </c>
      <c r="K217" s="5">
        <v>300</v>
      </c>
      <c r="L217" s="5">
        <v>300</v>
      </c>
      <c r="M217" s="9"/>
      <c r="N217" s="9"/>
    </row>
    <row r="218" spans="1:14" ht="15" customHeight="1" x14ac:dyDescent="0.2">
      <c r="A218" s="1" t="s">
        <v>197</v>
      </c>
      <c r="B218" s="6">
        <v>2</v>
      </c>
      <c r="C218" s="1" t="s">
        <v>6</v>
      </c>
      <c r="D218" s="1" t="s">
        <v>198</v>
      </c>
      <c r="E218" s="1" t="s">
        <v>292</v>
      </c>
      <c r="F218" s="1" t="s">
        <v>293</v>
      </c>
      <c r="G218" s="7">
        <v>115216.5</v>
      </c>
      <c r="H218" s="6">
        <v>2</v>
      </c>
      <c r="I218" s="7">
        <v>0</v>
      </c>
      <c r="J218" s="7">
        <v>0</v>
      </c>
      <c r="K218" s="7">
        <v>0</v>
      </c>
      <c r="L218" s="7">
        <v>300</v>
      </c>
      <c r="M218" s="10" t="s">
        <v>201</v>
      </c>
      <c r="N218" s="10"/>
    </row>
    <row r="219" spans="1:14" ht="15" customHeight="1" x14ac:dyDescent="0.2">
      <c r="A219" s="3" t="s">
        <v>202</v>
      </c>
      <c r="B219" s="4">
        <v>3</v>
      </c>
      <c r="C219" s="3" t="s">
        <v>6</v>
      </c>
      <c r="D219" s="3" t="s">
        <v>203</v>
      </c>
      <c r="E219" s="3" t="s">
        <v>294</v>
      </c>
      <c r="F219" s="3" t="s">
        <v>293</v>
      </c>
      <c r="G219" s="5">
        <v>114405</v>
      </c>
      <c r="H219" s="4">
        <v>3</v>
      </c>
      <c r="I219" s="5">
        <v>0</v>
      </c>
      <c r="J219" s="5">
        <v>0</v>
      </c>
      <c r="K219" s="5">
        <v>-8.1199999999999992</v>
      </c>
      <c r="L219" s="5">
        <v>291.88</v>
      </c>
      <c r="M219" s="9" t="s">
        <v>204</v>
      </c>
      <c r="N219" s="9"/>
    </row>
    <row r="220" spans="1:14" ht="15" customHeight="1" x14ac:dyDescent="0.2">
      <c r="A220" s="1" t="s">
        <v>205</v>
      </c>
      <c r="B220" s="6">
        <v>4</v>
      </c>
      <c r="C220" s="1" t="s">
        <v>6</v>
      </c>
      <c r="D220" s="1" t="s">
        <v>198</v>
      </c>
      <c r="E220" s="1" t="s">
        <v>292</v>
      </c>
      <c r="F220" s="1" t="s">
        <v>293</v>
      </c>
      <c r="G220" s="7">
        <v>114306.25</v>
      </c>
      <c r="H220" s="6">
        <v>4</v>
      </c>
      <c r="I220" s="7">
        <v>0</v>
      </c>
      <c r="J220" s="7">
        <v>0</v>
      </c>
      <c r="K220" s="7">
        <v>0</v>
      </c>
      <c r="L220" s="7">
        <v>291.88</v>
      </c>
      <c r="M220" s="10" t="s">
        <v>201</v>
      </c>
      <c r="N220" s="10"/>
    </row>
    <row r="221" spans="1:14" ht="15" customHeight="1" x14ac:dyDescent="0.2">
      <c r="A221" s="3" t="s">
        <v>206</v>
      </c>
      <c r="B221" s="4">
        <v>5</v>
      </c>
      <c r="C221" s="3" t="s">
        <v>6</v>
      </c>
      <c r="D221" s="3" t="s">
        <v>203</v>
      </c>
      <c r="E221" s="3" t="s">
        <v>294</v>
      </c>
      <c r="F221" s="3" t="s">
        <v>293</v>
      </c>
      <c r="G221" s="5">
        <v>113238</v>
      </c>
      <c r="H221" s="4">
        <v>5</v>
      </c>
      <c r="I221" s="5">
        <v>0</v>
      </c>
      <c r="J221" s="5">
        <v>0</v>
      </c>
      <c r="K221" s="5">
        <v>-10.68</v>
      </c>
      <c r="L221" s="5">
        <v>281.2</v>
      </c>
      <c r="M221" s="9" t="s">
        <v>207</v>
      </c>
      <c r="N221" s="9"/>
    </row>
    <row r="222" spans="1:14" ht="15" customHeight="1" x14ac:dyDescent="0.2">
      <c r="A222" s="1" t="s">
        <v>208</v>
      </c>
      <c r="B222" s="6">
        <v>6</v>
      </c>
      <c r="C222" s="1" t="s">
        <v>6</v>
      </c>
      <c r="D222" s="1" t="s">
        <v>198</v>
      </c>
      <c r="E222" s="1" t="s">
        <v>292</v>
      </c>
      <c r="F222" s="1" t="s">
        <v>293</v>
      </c>
      <c r="G222" s="7">
        <v>89849</v>
      </c>
      <c r="H222" s="6">
        <v>6</v>
      </c>
      <c r="I222" s="7">
        <v>0</v>
      </c>
      <c r="J222" s="7">
        <v>0</v>
      </c>
      <c r="K222" s="7">
        <v>0</v>
      </c>
      <c r="L222" s="7">
        <v>281.2</v>
      </c>
      <c r="M222" s="10" t="s">
        <v>201</v>
      </c>
      <c r="N222" s="10"/>
    </row>
    <row r="223" spans="1:14" ht="15" customHeight="1" x14ac:dyDescent="0.2">
      <c r="A223" s="3" t="s">
        <v>209</v>
      </c>
      <c r="B223" s="4">
        <v>7</v>
      </c>
      <c r="C223" s="3" t="s">
        <v>6</v>
      </c>
      <c r="D223" s="3" t="s">
        <v>203</v>
      </c>
      <c r="E223" s="3" t="s">
        <v>294</v>
      </c>
      <c r="F223" s="3" t="s">
        <v>293</v>
      </c>
      <c r="G223" s="5">
        <v>91508.9</v>
      </c>
      <c r="H223" s="4">
        <v>7</v>
      </c>
      <c r="I223" s="5">
        <v>0</v>
      </c>
      <c r="J223" s="5">
        <v>-0.26</v>
      </c>
      <c r="K223" s="5">
        <v>16.600000000000001</v>
      </c>
      <c r="L223" s="5">
        <v>297.54000000000002</v>
      </c>
      <c r="M223" s="9" t="s">
        <v>210</v>
      </c>
      <c r="N223" s="9"/>
    </row>
    <row r="224" spans="1:14" ht="15" customHeight="1" x14ac:dyDescent="0.2">
      <c r="A224" s="1" t="s">
        <v>211</v>
      </c>
      <c r="B224" s="6">
        <v>8</v>
      </c>
      <c r="C224" s="1" t="s">
        <v>6</v>
      </c>
      <c r="D224" s="1" t="s">
        <v>198</v>
      </c>
      <c r="E224" s="1" t="s">
        <v>292</v>
      </c>
      <c r="F224" s="1" t="s">
        <v>293</v>
      </c>
      <c r="G224" s="7">
        <v>91307.7</v>
      </c>
      <c r="H224" s="6">
        <v>8</v>
      </c>
      <c r="I224" s="7">
        <v>0</v>
      </c>
      <c r="J224" s="7">
        <v>0</v>
      </c>
      <c r="K224" s="7">
        <v>0</v>
      </c>
      <c r="L224" s="7">
        <v>297.54000000000002</v>
      </c>
      <c r="M224" s="10" t="s">
        <v>201</v>
      </c>
      <c r="N224" s="10"/>
    </row>
    <row r="225" spans="1:14" ht="15" customHeight="1" x14ac:dyDescent="0.2">
      <c r="A225" s="3" t="s">
        <v>212</v>
      </c>
      <c r="B225" s="4">
        <v>9</v>
      </c>
      <c r="C225" s="3" t="s">
        <v>6</v>
      </c>
      <c r="D225" s="3" t="s">
        <v>203</v>
      </c>
      <c r="E225" s="3" t="s">
        <v>294</v>
      </c>
      <c r="F225" s="3" t="s">
        <v>293</v>
      </c>
      <c r="G225" s="5">
        <v>92779.5</v>
      </c>
      <c r="H225" s="4">
        <v>9</v>
      </c>
      <c r="I225" s="5">
        <v>0</v>
      </c>
      <c r="J225" s="5">
        <v>0</v>
      </c>
      <c r="K225" s="5">
        <v>14.72</v>
      </c>
      <c r="L225" s="5">
        <v>312.26</v>
      </c>
      <c r="M225" s="9" t="s">
        <v>213</v>
      </c>
      <c r="N225" s="9"/>
    </row>
    <row r="226" spans="1:14" ht="15" customHeight="1" x14ac:dyDescent="0.2">
      <c r="A226" s="1" t="s">
        <v>214</v>
      </c>
      <c r="B226" s="6">
        <v>10</v>
      </c>
      <c r="C226" s="1" t="s">
        <v>6</v>
      </c>
      <c r="D226" s="1" t="s">
        <v>198</v>
      </c>
      <c r="E226" s="1" t="s">
        <v>292</v>
      </c>
      <c r="F226" s="1" t="s">
        <v>293</v>
      </c>
      <c r="G226" s="7">
        <v>92654.399999999994</v>
      </c>
      <c r="H226" s="6">
        <v>10</v>
      </c>
      <c r="I226" s="7">
        <v>0</v>
      </c>
      <c r="J226" s="7">
        <v>0</v>
      </c>
      <c r="K226" s="7">
        <v>0</v>
      </c>
      <c r="L226" s="7">
        <v>312.26</v>
      </c>
      <c r="M226" s="10" t="s">
        <v>201</v>
      </c>
      <c r="N226" s="10"/>
    </row>
    <row r="227" spans="1:14" ht="15" customHeight="1" x14ac:dyDescent="0.2">
      <c r="A227" s="3" t="s">
        <v>215</v>
      </c>
      <c r="B227" s="4">
        <v>11</v>
      </c>
      <c r="C227" s="3" t="s">
        <v>6</v>
      </c>
      <c r="D227" s="3" t="s">
        <v>203</v>
      </c>
      <c r="E227" s="3" t="s">
        <v>294</v>
      </c>
      <c r="F227" s="3" t="s">
        <v>293</v>
      </c>
      <c r="G227" s="5">
        <v>94284.1</v>
      </c>
      <c r="H227" s="4">
        <v>11</v>
      </c>
      <c r="I227" s="5">
        <v>0</v>
      </c>
      <c r="J227" s="5">
        <v>0</v>
      </c>
      <c r="K227" s="5">
        <v>16.3</v>
      </c>
      <c r="L227" s="5">
        <v>328.56</v>
      </c>
      <c r="M227" s="9" t="s">
        <v>216</v>
      </c>
      <c r="N227" s="9"/>
    </row>
    <row r="228" spans="1:14" ht="15" customHeight="1" x14ac:dyDescent="0.2">
      <c r="A228" s="1" t="s">
        <v>217</v>
      </c>
      <c r="B228" s="6">
        <v>12</v>
      </c>
      <c r="C228" s="1" t="s">
        <v>6</v>
      </c>
      <c r="D228" s="1" t="s">
        <v>198</v>
      </c>
      <c r="E228" s="1" t="s">
        <v>292</v>
      </c>
      <c r="F228" s="1" t="s">
        <v>293</v>
      </c>
      <c r="G228" s="7">
        <v>93997.3</v>
      </c>
      <c r="H228" s="6">
        <v>12</v>
      </c>
      <c r="I228" s="7">
        <v>0</v>
      </c>
      <c r="J228" s="7">
        <v>0</v>
      </c>
      <c r="K228" s="7">
        <v>0</v>
      </c>
      <c r="L228" s="7">
        <v>328.56</v>
      </c>
      <c r="M228" s="10" t="s">
        <v>201</v>
      </c>
      <c r="N228" s="10"/>
    </row>
    <row r="229" spans="1:14" ht="15" customHeight="1" x14ac:dyDescent="0.2">
      <c r="A229" s="3" t="s">
        <v>218</v>
      </c>
      <c r="B229" s="4">
        <v>13</v>
      </c>
      <c r="C229" s="3" t="s">
        <v>6</v>
      </c>
      <c r="D229" s="3" t="s">
        <v>198</v>
      </c>
      <c r="E229" s="3" t="s">
        <v>292</v>
      </c>
      <c r="F229" s="3" t="s">
        <v>293</v>
      </c>
      <c r="G229" s="5">
        <v>93629.35</v>
      </c>
      <c r="H229" s="4">
        <v>13</v>
      </c>
      <c r="I229" s="5">
        <v>0</v>
      </c>
      <c r="J229" s="5">
        <v>0</v>
      </c>
      <c r="K229" s="5">
        <v>0</v>
      </c>
      <c r="L229" s="5">
        <v>328.56</v>
      </c>
      <c r="M229" s="9" t="s">
        <v>201</v>
      </c>
      <c r="N229" s="9"/>
    </row>
    <row r="230" spans="1:14" ht="15" customHeight="1" x14ac:dyDescent="0.2">
      <c r="A230" s="1" t="s">
        <v>219</v>
      </c>
      <c r="B230" s="6">
        <v>14</v>
      </c>
      <c r="C230" s="1" t="s">
        <v>6</v>
      </c>
      <c r="D230" s="1" t="s">
        <v>198</v>
      </c>
      <c r="E230" s="1" t="s">
        <v>292</v>
      </c>
      <c r="F230" s="1" t="s">
        <v>293</v>
      </c>
      <c r="G230" s="7">
        <v>93611.199999999997</v>
      </c>
      <c r="H230" s="6">
        <v>14</v>
      </c>
      <c r="I230" s="7">
        <v>0</v>
      </c>
      <c r="J230" s="7">
        <v>0</v>
      </c>
      <c r="K230" s="7">
        <v>0</v>
      </c>
      <c r="L230" s="7">
        <v>328.56</v>
      </c>
      <c r="M230" s="10" t="s">
        <v>201</v>
      </c>
      <c r="N230" s="10"/>
    </row>
    <row r="231" spans="1:14" ht="15" customHeight="1" x14ac:dyDescent="0.2">
      <c r="A231" s="3" t="s">
        <v>220</v>
      </c>
      <c r="B231" s="4">
        <v>15</v>
      </c>
      <c r="C231" s="3" t="s">
        <v>6</v>
      </c>
      <c r="D231" s="3" t="s">
        <v>203</v>
      </c>
      <c r="E231" s="3" t="s">
        <v>294</v>
      </c>
      <c r="F231" s="3" t="s">
        <v>293</v>
      </c>
      <c r="G231" s="5">
        <v>93233.7</v>
      </c>
      <c r="H231" s="4">
        <v>15</v>
      </c>
      <c r="I231" s="5">
        <v>0</v>
      </c>
      <c r="J231" s="5">
        <v>0</v>
      </c>
      <c r="K231" s="5">
        <v>-3.96</v>
      </c>
      <c r="L231" s="5">
        <v>324.60000000000002</v>
      </c>
      <c r="M231" s="9" t="s">
        <v>221</v>
      </c>
      <c r="N231" s="9"/>
    </row>
    <row r="232" spans="1:14" ht="15" customHeight="1" x14ac:dyDescent="0.2">
      <c r="A232" s="1" t="s">
        <v>222</v>
      </c>
      <c r="B232" s="6">
        <v>16</v>
      </c>
      <c r="C232" s="1" t="s">
        <v>6</v>
      </c>
      <c r="D232" s="1" t="s">
        <v>203</v>
      </c>
      <c r="E232" s="1" t="s">
        <v>294</v>
      </c>
      <c r="F232" s="1" t="s">
        <v>293</v>
      </c>
      <c r="G232" s="7">
        <v>93193.3</v>
      </c>
      <c r="H232" s="6">
        <v>16</v>
      </c>
      <c r="I232" s="7">
        <v>0</v>
      </c>
      <c r="J232" s="7">
        <v>0</v>
      </c>
      <c r="K232" s="7">
        <v>-4.18</v>
      </c>
      <c r="L232" s="7">
        <v>320.42</v>
      </c>
      <c r="M232" s="10"/>
      <c r="N232" s="10"/>
    </row>
    <row r="233" spans="1:14" ht="15" customHeight="1" x14ac:dyDescent="0.2">
      <c r="A233" s="3" t="s">
        <v>222</v>
      </c>
      <c r="B233" s="4">
        <v>17</v>
      </c>
      <c r="C233" s="3" t="s">
        <v>6</v>
      </c>
      <c r="D233" s="3" t="s">
        <v>203</v>
      </c>
      <c r="E233" s="3" t="s">
        <v>294</v>
      </c>
      <c r="F233" s="3" t="s">
        <v>293</v>
      </c>
      <c r="G233" s="5">
        <v>93193.3</v>
      </c>
      <c r="H233" s="4">
        <v>17</v>
      </c>
      <c r="I233" s="5">
        <v>0</v>
      </c>
      <c r="J233" s="5">
        <v>-0.26</v>
      </c>
      <c r="K233" s="5">
        <v>-8.0399999999999991</v>
      </c>
      <c r="L233" s="5">
        <v>312.12</v>
      </c>
      <c r="M233" s="9"/>
      <c r="N233" s="9"/>
    </row>
    <row r="234" spans="1:14" ht="15" customHeight="1" x14ac:dyDescent="0.2">
      <c r="A234" s="1" t="s">
        <v>223</v>
      </c>
      <c r="B234" s="6">
        <v>18</v>
      </c>
      <c r="C234" s="1" t="s">
        <v>6</v>
      </c>
      <c r="D234" s="1" t="s">
        <v>198</v>
      </c>
      <c r="E234" s="1" t="s">
        <v>292</v>
      </c>
      <c r="F234" s="1" t="s">
        <v>293</v>
      </c>
      <c r="G234" s="7">
        <v>93206.65</v>
      </c>
      <c r="H234" s="6">
        <v>18</v>
      </c>
      <c r="I234" s="7">
        <v>0</v>
      </c>
      <c r="J234" s="7">
        <v>0</v>
      </c>
      <c r="K234" s="7">
        <v>0</v>
      </c>
      <c r="L234" s="7">
        <v>312.12</v>
      </c>
      <c r="M234" s="10" t="s">
        <v>201</v>
      </c>
      <c r="N234" s="10"/>
    </row>
    <row r="235" spans="1:14" ht="15" customHeight="1" x14ac:dyDescent="0.2">
      <c r="A235" s="3" t="s">
        <v>224</v>
      </c>
      <c r="B235" s="4">
        <v>19</v>
      </c>
      <c r="C235" s="3" t="s">
        <v>6</v>
      </c>
      <c r="D235" s="3" t="s">
        <v>203</v>
      </c>
      <c r="E235" s="3" t="s">
        <v>294</v>
      </c>
      <c r="F235" s="3" t="s">
        <v>293</v>
      </c>
      <c r="G235" s="5">
        <v>92435.5</v>
      </c>
      <c r="H235" s="4">
        <v>19</v>
      </c>
      <c r="I235" s="5">
        <v>0</v>
      </c>
      <c r="J235" s="5">
        <v>0</v>
      </c>
      <c r="K235" s="5">
        <v>-7.71</v>
      </c>
      <c r="L235" s="5">
        <v>304.41000000000003</v>
      </c>
      <c r="M235" s="9" t="s">
        <v>225</v>
      </c>
      <c r="N235" s="9"/>
    </row>
    <row r="236" spans="1:14" ht="15" customHeight="1" x14ac:dyDescent="0.2">
      <c r="A236" s="1" t="s">
        <v>226</v>
      </c>
      <c r="B236" s="6">
        <v>20</v>
      </c>
      <c r="C236" s="1" t="s">
        <v>6</v>
      </c>
      <c r="D236" s="1" t="s">
        <v>198</v>
      </c>
      <c r="E236" s="1" t="s">
        <v>292</v>
      </c>
      <c r="F236" s="1" t="s">
        <v>293</v>
      </c>
      <c r="G236" s="7">
        <v>90909.6</v>
      </c>
      <c r="H236" s="6">
        <v>20</v>
      </c>
      <c r="I236" s="7">
        <v>0</v>
      </c>
      <c r="J236" s="7">
        <v>0</v>
      </c>
      <c r="K236" s="7">
        <v>0</v>
      </c>
      <c r="L236" s="7">
        <v>304.41000000000003</v>
      </c>
      <c r="M236" s="10" t="s">
        <v>201</v>
      </c>
      <c r="N236" s="10"/>
    </row>
    <row r="237" spans="1:14" ht="15" customHeight="1" x14ac:dyDescent="0.2">
      <c r="A237" s="3" t="s">
        <v>227</v>
      </c>
      <c r="B237" s="4">
        <v>21</v>
      </c>
      <c r="C237" s="3" t="s">
        <v>6</v>
      </c>
      <c r="D237" s="3" t="s">
        <v>203</v>
      </c>
      <c r="E237" s="3" t="s">
        <v>294</v>
      </c>
      <c r="F237" s="3" t="s">
        <v>293</v>
      </c>
      <c r="G237" s="5">
        <v>90290.95</v>
      </c>
      <c r="H237" s="4">
        <v>21</v>
      </c>
      <c r="I237" s="5">
        <v>0</v>
      </c>
      <c r="J237" s="5">
        <v>0</v>
      </c>
      <c r="K237" s="5">
        <v>-6.19</v>
      </c>
      <c r="L237" s="5">
        <v>298.22000000000003</v>
      </c>
      <c r="M237" s="9" t="s">
        <v>228</v>
      </c>
      <c r="N237" s="9"/>
    </row>
    <row r="238" spans="1:14" ht="15" customHeight="1" x14ac:dyDescent="0.2">
      <c r="A238" s="1" t="s">
        <v>229</v>
      </c>
      <c r="B238" s="6">
        <v>22</v>
      </c>
      <c r="C238" s="1" t="s">
        <v>6</v>
      </c>
      <c r="D238" s="1" t="s">
        <v>198</v>
      </c>
      <c r="E238" s="1" t="s">
        <v>292</v>
      </c>
      <c r="F238" s="1" t="s">
        <v>293</v>
      </c>
      <c r="G238" s="7">
        <v>90332.2</v>
      </c>
      <c r="H238" s="6">
        <v>22</v>
      </c>
      <c r="I238" s="7">
        <v>0</v>
      </c>
      <c r="J238" s="7">
        <v>0</v>
      </c>
      <c r="K238" s="7">
        <v>0</v>
      </c>
      <c r="L238" s="7">
        <v>298.22000000000003</v>
      </c>
      <c r="M238" s="10" t="s">
        <v>201</v>
      </c>
      <c r="N238" s="10"/>
    </row>
    <row r="239" spans="1:14" ht="15" customHeight="1" x14ac:dyDescent="0.2">
      <c r="A239" s="3" t="s">
        <v>230</v>
      </c>
      <c r="B239" s="4">
        <v>23</v>
      </c>
      <c r="C239" s="3" t="s">
        <v>6</v>
      </c>
      <c r="D239" s="3" t="s">
        <v>203</v>
      </c>
      <c r="E239" s="3" t="s">
        <v>294</v>
      </c>
      <c r="F239" s="3" t="s">
        <v>293</v>
      </c>
      <c r="G239" s="5">
        <v>89495.45</v>
      </c>
      <c r="H239" s="4">
        <v>23</v>
      </c>
      <c r="I239" s="5">
        <v>0</v>
      </c>
      <c r="J239" s="5">
        <v>0</v>
      </c>
      <c r="K239" s="5">
        <v>-8.3699999999999992</v>
      </c>
      <c r="L239" s="5">
        <v>289.85000000000002</v>
      </c>
      <c r="M239" s="9" t="s">
        <v>231</v>
      </c>
      <c r="N239" s="9"/>
    </row>
    <row r="240" spans="1:14" ht="15" customHeight="1" x14ac:dyDescent="0.2">
      <c r="A240" s="1" t="s">
        <v>232</v>
      </c>
      <c r="B240" s="6">
        <v>24</v>
      </c>
      <c r="C240" s="1" t="s">
        <v>6</v>
      </c>
      <c r="D240" s="1" t="s">
        <v>198</v>
      </c>
      <c r="E240" s="1" t="s">
        <v>292</v>
      </c>
      <c r="F240" s="1" t="s">
        <v>293</v>
      </c>
      <c r="G240" s="7">
        <v>91060.4</v>
      </c>
      <c r="H240" s="6">
        <v>24</v>
      </c>
      <c r="I240" s="7">
        <v>0</v>
      </c>
      <c r="J240" s="7">
        <v>0</v>
      </c>
      <c r="K240" s="7">
        <v>0</v>
      </c>
      <c r="L240" s="7">
        <v>289.85000000000002</v>
      </c>
      <c r="M240" s="10" t="s">
        <v>201</v>
      </c>
      <c r="N240" s="10"/>
    </row>
    <row r="241" spans="1:14" ht="15" customHeight="1" x14ac:dyDescent="0.2">
      <c r="A241" s="3" t="s">
        <v>233</v>
      </c>
      <c r="B241" s="4">
        <v>25</v>
      </c>
      <c r="C241" s="3" t="s">
        <v>6</v>
      </c>
      <c r="D241" s="3" t="s">
        <v>203</v>
      </c>
      <c r="E241" s="3" t="s">
        <v>294</v>
      </c>
      <c r="F241" s="3" t="s">
        <v>293</v>
      </c>
      <c r="G241" s="5">
        <v>90544.2</v>
      </c>
      <c r="H241" s="4">
        <v>25</v>
      </c>
      <c r="I241" s="5">
        <v>0</v>
      </c>
      <c r="J241" s="5">
        <v>0</v>
      </c>
      <c r="K241" s="5">
        <v>-5.16</v>
      </c>
      <c r="L241" s="5">
        <v>284.69</v>
      </c>
      <c r="M241" s="9" t="s">
        <v>234</v>
      </c>
      <c r="N241" s="9"/>
    </row>
    <row r="242" spans="1:14" ht="15" customHeight="1" x14ac:dyDescent="0.2">
      <c r="A242" s="1" t="s">
        <v>235</v>
      </c>
      <c r="B242" s="6">
        <v>26</v>
      </c>
      <c r="C242" s="1" t="s">
        <v>6</v>
      </c>
      <c r="D242" s="1" t="s">
        <v>198</v>
      </c>
      <c r="E242" s="1" t="s">
        <v>292</v>
      </c>
      <c r="F242" s="1" t="s">
        <v>293</v>
      </c>
      <c r="G242" s="7">
        <v>90561.600000000006</v>
      </c>
      <c r="H242" s="6">
        <v>26</v>
      </c>
      <c r="I242" s="7">
        <v>0</v>
      </c>
      <c r="J242" s="7">
        <v>0</v>
      </c>
      <c r="K242" s="7">
        <v>0</v>
      </c>
      <c r="L242" s="7">
        <v>284.69</v>
      </c>
      <c r="M242" s="10" t="s">
        <v>201</v>
      </c>
      <c r="N242" s="10"/>
    </row>
    <row r="243" spans="1:14" ht="15" customHeight="1" x14ac:dyDescent="0.2">
      <c r="A243" s="3" t="s">
        <v>236</v>
      </c>
      <c r="B243" s="4">
        <v>27</v>
      </c>
      <c r="C243" s="3" t="s">
        <v>6</v>
      </c>
      <c r="D243" s="3" t="s">
        <v>203</v>
      </c>
      <c r="E243" s="3" t="s">
        <v>294</v>
      </c>
      <c r="F243" s="3" t="s">
        <v>293</v>
      </c>
      <c r="G243" s="5">
        <v>89977.3</v>
      </c>
      <c r="H243" s="4">
        <v>27</v>
      </c>
      <c r="I243" s="5">
        <v>0</v>
      </c>
      <c r="J243" s="5">
        <v>0</v>
      </c>
      <c r="K243" s="5">
        <v>-5.84</v>
      </c>
      <c r="L243" s="5">
        <v>278.85000000000002</v>
      </c>
      <c r="M243" s="9" t="s">
        <v>237</v>
      </c>
      <c r="N243" s="9"/>
    </row>
    <row r="244" spans="1:14" ht="15" customHeight="1" x14ac:dyDescent="0.2">
      <c r="A244" s="1" t="s">
        <v>238</v>
      </c>
      <c r="B244" s="6">
        <v>28</v>
      </c>
      <c r="C244" s="1" t="s">
        <v>6</v>
      </c>
      <c r="D244" s="1" t="s">
        <v>198</v>
      </c>
      <c r="E244" s="1" t="s">
        <v>292</v>
      </c>
      <c r="F244" s="1" t="s">
        <v>293</v>
      </c>
      <c r="G244" s="7">
        <v>90625.4</v>
      </c>
      <c r="H244" s="6">
        <v>28</v>
      </c>
      <c r="I244" s="7">
        <v>0</v>
      </c>
      <c r="J244" s="7">
        <v>0</v>
      </c>
      <c r="K244" s="7">
        <v>0</v>
      </c>
      <c r="L244" s="7">
        <v>278.85000000000002</v>
      </c>
      <c r="M244" s="10" t="s">
        <v>201</v>
      </c>
      <c r="N244" s="10"/>
    </row>
    <row r="245" spans="1:14" ht="15" customHeight="1" x14ac:dyDescent="0.2">
      <c r="A245" s="3" t="s">
        <v>239</v>
      </c>
      <c r="B245" s="4">
        <v>29</v>
      </c>
      <c r="C245" s="3" t="s">
        <v>6</v>
      </c>
      <c r="D245" s="3" t="s">
        <v>198</v>
      </c>
      <c r="E245" s="3" t="s">
        <v>292</v>
      </c>
      <c r="F245" s="3" t="s">
        <v>293</v>
      </c>
      <c r="G245" s="5">
        <v>90514.2</v>
      </c>
      <c r="H245" s="4">
        <v>29</v>
      </c>
      <c r="I245" s="5">
        <v>0</v>
      </c>
      <c r="J245" s="5">
        <v>0</v>
      </c>
      <c r="K245" s="5">
        <v>0</v>
      </c>
      <c r="L245" s="5">
        <v>278.85000000000002</v>
      </c>
      <c r="M245" s="9" t="s">
        <v>201</v>
      </c>
      <c r="N245" s="9"/>
    </row>
    <row r="246" spans="1:14" ht="15" customHeight="1" x14ac:dyDescent="0.2">
      <c r="A246" s="1" t="s">
        <v>240</v>
      </c>
      <c r="B246" s="6">
        <v>30</v>
      </c>
      <c r="C246" s="1" t="s">
        <v>6</v>
      </c>
      <c r="D246" s="1" t="s">
        <v>203</v>
      </c>
      <c r="E246" s="1" t="s">
        <v>294</v>
      </c>
      <c r="F246" s="1" t="s">
        <v>293</v>
      </c>
      <c r="G246" s="7">
        <v>90389</v>
      </c>
      <c r="H246" s="6">
        <v>30</v>
      </c>
      <c r="I246" s="7">
        <v>0</v>
      </c>
      <c r="J246" s="7">
        <v>0</v>
      </c>
      <c r="K246" s="7">
        <v>-1.25</v>
      </c>
      <c r="L246" s="7">
        <v>277.60000000000002</v>
      </c>
      <c r="M246" s="10" t="s">
        <v>241</v>
      </c>
      <c r="N246" s="10"/>
    </row>
    <row r="247" spans="1:14" ht="15" customHeight="1" x14ac:dyDescent="0.2">
      <c r="A247" s="3" t="s">
        <v>242</v>
      </c>
      <c r="B247" s="4">
        <v>31</v>
      </c>
      <c r="C247" s="3" t="s">
        <v>6</v>
      </c>
      <c r="D247" s="3" t="s">
        <v>203</v>
      </c>
      <c r="E247" s="3" t="s">
        <v>294</v>
      </c>
      <c r="F247" s="3" t="s">
        <v>293</v>
      </c>
      <c r="G247" s="5">
        <v>90341.2</v>
      </c>
      <c r="H247" s="4">
        <v>31</v>
      </c>
      <c r="I247" s="5">
        <v>0</v>
      </c>
      <c r="J247" s="5">
        <v>0</v>
      </c>
      <c r="K247" s="5">
        <v>-2.84</v>
      </c>
      <c r="L247" s="5">
        <v>274.76</v>
      </c>
      <c r="M247" s="9" t="s">
        <v>243</v>
      </c>
      <c r="N247" s="9"/>
    </row>
    <row r="248" spans="1:14" ht="15" customHeight="1" x14ac:dyDescent="0.2">
      <c r="A248" s="1" t="s">
        <v>244</v>
      </c>
      <c r="B248" s="6">
        <v>32</v>
      </c>
      <c r="C248" s="1" t="s">
        <v>6</v>
      </c>
      <c r="D248" s="1" t="s">
        <v>198</v>
      </c>
      <c r="E248" s="1" t="s">
        <v>292</v>
      </c>
      <c r="F248" s="1" t="s">
        <v>293</v>
      </c>
      <c r="G248" s="7">
        <v>90379.7</v>
      </c>
      <c r="H248" s="6">
        <v>32</v>
      </c>
      <c r="I248" s="7">
        <v>0</v>
      </c>
      <c r="J248" s="7">
        <v>0</v>
      </c>
      <c r="K248" s="7">
        <v>0</v>
      </c>
      <c r="L248" s="7">
        <v>274.76</v>
      </c>
      <c r="M248" s="10" t="s">
        <v>201</v>
      </c>
      <c r="N248" s="10"/>
    </row>
    <row r="249" spans="1:14" ht="15" customHeight="1" x14ac:dyDescent="0.2">
      <c r="A249" s="3" t="s">
        <v>245</v>
      </c>
      <c r="B249" s="4">
        <v>33</v>
      </c>
      <c r="C249" s="3" t="s">
        <v>6</v>
      </c>
      <c r="D249" s="3" t="s">
        <v>203</v>
      </c>
      <c r="E249" s="3" t="s">
        <v>294</v>
      </c>
      <c r="F249" s="3" t="s">
        <v>293</v>
      </c>
      <c r="G249" s="5">
        <v>92023</v>
      </c>
      <c r="H249" s="4">
        <v>33</v>
      </c>
      <c r="I249" s="5">
        <v>0</v>
      </c>
      <c r="J249" s="5">
        <v>0</v>
      </c>
      <c r="K249" s="5">
        <v>16.43</v>
      </c>
      <c r="L249" s="5">
        <v>291.19</v>
      </c>
      <c r="M249" s="9" t="s">
        <v>246</v>
      </c>
      <c r="N249" s="9"/>
    </row>
    <row r="250" spans="1:14" ht="15" customHeight="1" x14ac:dyDescent="0.2">
      <c r="A250" s="1" t="s">
        <v>247</v>
      </c>
      <c r="B250" s="6">
        <v>34</v>
      </c>
      <c r="C250" s="1" t="s">
        <v>6</v>
      </c>
      <c r="D250" s="1" t="s">
        <v>198</v>
      </c>
      <c r="E250" s="1" t="s">
        <v>292</v>
      </c>
      <c r="F250" s="1" t="s">
        <v>293</v>
      </c>
      <c r="G250" s="7">
        <v>91969.3</v>
      </c>
      <c r="H250" s="6">
        <v>34</v>
      </c>
      <c r="I250" s="7">
        <v>0</v>
      </c>
      <c r="J250" s="7">
        <v>0</v>
      </c>
      <c r="K250" s="7">
        <v>0</v>
      </c>
      <c r="L250" s="7">
        <v>291.19</v>
      </c>
      <c r="M250" s="10" t="s">
        <v>201</v>
      </c>
      <c r="N250" s="10"/>
    </row>
    <row r="251" spans="1:14" ht="15" customHeight="1" x14ac:dyDescent="0.2">
      <c r="A251" s="3" t="s">
        <v>248</v>
      </c>
      <c r="B251" s="4">
        <v>35</v>
      </c>
      <c r="C251" s="3" t="s">
        <v>6</v>
      </c>
      <c r="D251" s="3" t="s">
        <v>203</v>
      </c>
      <c r="E251" s="3" t="s">
        <v>294</v>
      </c>
      <c r="F251" s="3" t="s">
        <v>293</v>
      </c>
      <c r="G251" s="5">
        <v>91439.2</v>
      </c>
      <c r="H251" s="4">
        <v>35</v>
      </c>
      <c r="I251" s="5">
        <v>0</v>
      </c>
      <c r="J251" s="5">
        <v>0</v>
      </c>
      <c r="K251" s="5">
        <v>-5.3</v>
      </c>
      <c r="L251" s="5">
        <v>285.89</v>
      </c>
      <c r="M251" s="9" t="s">
        <v>249</v>
      </c>
      <c r="N251" s="9"/>
    </row>
    <row r="252" spans="1:14" ht="15" customHeight="1" x14ac:dyDescent="0.2">
      <c r="A252" s="1" t="s">
        <v>250</v>
      </c>
      <c r="B252" s="6">
        <v>36</v>
      </c>
      <c r="C252" s="1" t="s">
        <v>6</v>
      </c>
      <c r="D252" s="1" t="s">
        <v>198</v>
      </c>
      <c r="E252" s="1" t="s">
        <v>292</v>
      </c>
      <c r="F252" s="1" t="s">
        <v>293</v>
      </c>
      <c r="G252" s="7">
        <v>91514.05</v>
      </c>
      <c r="H252" s="6">
        <v>36</v>
      </c>
      <c r="I252" s="7">
        <v>0</v>
      </c>
      <c r="J252" s="7">
        <v>0</v>
      </c>
      <c r="K252" s="7">
        <v>0</v>
      </c>
      <c r="L252" s="7">
        <v>285.89</v>
      </c>
      <c r="M252" s="10" t="s">
        <v>201</v>
      </c>
      <c r="N252" s="10"/>
    </row>
    <row r="253" spans="1:14" ht="15" customHeight="1" x14ac:dyDescent="0.2">
      <c r="A253" s="3" t="s">
        <v>251</v>
      </c>
      <c r="B253" s="4">
        <v>37</v>
      </c>
      <c r="C253" s="3" t="s">
        <v>6</v>
      </c>
      <c r="D253" s="3" t="s">
        <v>203</v>
      </c>
      <c r="E253" s="3" t="s">
        <v>294</v>
      </c>
      <c r="F253" s="3" t="s">
        <v>293</v>
      </c>
      <c r="G253" s="5">
        <v>90753.1</v>
      </c>
      <c r="H253" s="4">
        <v>37</v>
      </c>
      <c r="I253" s="5">
        <v>0</v>
      </c>
      <c r="J253" s="5">
        <v>0</v>
      </c>
      <c r="K253" s="5">
        <v>-7.61</v>
      </c>
      <c r="L253" s="5">
        <v>278.27999999999997</v>
      </c>
      <c r="M253" s="9" t="s">
        <v>252</v>
      </c>
      <c r="N253" s="9"/>
    </row>
    <row r="254" spans="1:14" ht="15" customHeight="1" x14ac:dyDescent="0.2">
      <c r="A254" s="1" t="s">
        <v>253</v>
      </c>
      <c r="B254" s="6">
        <v>38</v>
      </c>
      <c r="C254" s="1" t="s">
        <v>6</v>
      </c>
      <c r="D254" s="1" t="s">
        <v>198</v>
      </c>
      <c r="E254" s="1" t="s">
        <v>292</v>
      </c>
      <c r="F254" s="1" t="s">
        <v>293</v>
      </c>
      <c r="G254" s="7">
        <v>90787.199999999997</v>
      </c>
      <c r="H254" s="6">
        <v>38</v>
      </c>
      <c r="I254" s="7">
        <v>0</v>
      </c>
      <c r="J254" s="7">
        <v>0</v>
      </c>
      <c r="K254" s="7">
        <v>0</v>
      </c>
      <c r="L254" s="7">
        <v>278.27999999999997</v>
      </c>
      <c r="M254" s="10" t="s">
        <v>201</v>
      </c>
      <c r="N254" s="10"/>
    </row>
    <row r="255" spans="1:14" ht="15" customHeight="1" x14ac:dyDescent="0.2">
      <c r="A255" s="3" t="s">
        <v>254</v>
      </c>
      <c r="B255" s="4">
        <v>39</v>
      </c>
      <c r="C255" s="3" t="s">
        <v>6</v>
      </c>
      <c r="D255" s="3" t="s">
        <v>203</v>
      </c>
      <c r="E255" s="3" t="s">
        <v>294</v>
      </c>
      <c r="F255" s="3" t="s">
        <v>293</v>
      </c>
      <c r="G255" s="5">
        <v>92198.8</v>
      </c>
      <c r="H255" s="4">
        <v>39</v>
      </c>
      <c r="I255" s="5">
        <v>0</v>
      </c>
      <c r="J255" s="5">
        <v>-0.26</v>
      </c>
      <c r="K255" s="5">
        <v>14.12</v>
      </c>
      <c r="L255" s="5">
        <v>292.14</v>
      </c>
      <c r="M255" s="9" t="s">
        <v>255</v>
      </c>
      <c r="N255" s="9"/>
    </row>
    <row r="256" spans="1:14" ht="15" customHeight="1" x14ac:dyDescent="0.2">
      <c r="A256" s="1" t="s">
        <v>256</v>
      </c>
      <c r="B256" s="6">
        <v>40</v>
      </c>
      <c r="C256" s="1" t="s">
        <v>6</v>
      </c>
      <c r="D256" s="1" t="s">
        <v>198</v>
      </c>
      <c r="E256" s="1" t="s">
        <v>292</v>
      </c>
      <c r="F256" s="1" t="s">
        <v>293</v>
      </c>
      <c r="G256" s="7">
        <v>95148.1</v>
      </c>
      <c r="H256" s="6">
        <v>40</v>
      </c>
      <c r="I256" s="7">
        <v>0</v>
      </c>
      <c r="J256" s="7">
        <v>0</v>
      </c>
      <c r="K256" s="7">
        <v>0</v>
      </c>
      <c r="L256" s="7">
        <v>292.14</v>
      </c>
      <c r="M256" s="10" t="s">
        <v>201</v>
      </c>
      <c r="N256" s="10"/>
    </row>
    <row r="257" spans="1:14" ht="15" customHeight="1" x14ac:dyDescent="0.2">
      <c r="A257" s="3" t="s">
        <v>257</v>
      </c>
      <c r="B257" s="4">
        <v>41</v>
      </c>
      <c r="C257" s="3" t="s">
        <v>6</v>
      </c>
      <c r="D257" s="3" t="s">
        <v>203</v>
      </c>
      <c r="E257" s="3" t="s">
        <v>294</v>
      </c>
      <c r="F257" s="3" t="s">
        <v>293</v>
      </c>
      <c r="G257" s="5">
        <v>97018.6</v>
      </c>
      <c r="H257" s="4">
        <v>41</v>
      </c>
      <c r="I257" s="5">
        <v>0</v>
      </c>
      <c r="J257" s="5">
        <v>0</v>
      </c>
      <c r="K257" s="5">
        <v>18.71</v>
      </c>
      <c r="L257" s="5">
        <v>310.85000000000002</v>
      </c>
      <c r="M257" s="9" t="s">
        <v>258</v>
      </c>
      <c r="N257" s="9"/>
    </row>
    <row r="258" spans="1:14" ht="15" customHeight="1" x14ac:dyDescent="0.2">
      <c r="A258" s="1" t="s">
        <v>259</v>
      </c>
      <c r="B258" s="6">
        <v>42</v>
      </c>
      <c r="C258" s="1" t="s">
        <v>6</v>
      </c>
      <c r="D258" s="1" t="s">
        <v>198</v>
      </c>
      <c r="E258" s="1" t="s">
        <v>292</v>
      </c>
      <c r="F258" s="1" t="s">
        <v>293</v>
      </c>
      <c r="G258" s="7">
        <v>96527.1</v>
      </c>
      <c r="H258" s="6">
        <v>42</v>
      </c>
      <c r="I258" s="7">
        <v>0</v>
      </c>
      <c r="J258" s="7">
        <v>0</v>
      </c>
      <c r="K258" s="7">
        <v>0</v>
      </c>
      <c r="L258" s="7">
        <v>310.85000000000002</v>
      </c>
      <c r="M258" s="10" t="s">
        <v>201</v>
      </c>
      <c r="N258" s="10"/>
    </row>
    <row r="259" spans="1:14" ht="15" customHeight="1" x14ac:dyDescent="0.2">
      <c r="A259" s="3" t="s">
        <v>260</v>
      </c>
      <c r="B259" s="4">
        <v>43</v>
      </c>
      <c r="C259" s="3" t="s">
        <v>6</v>
      </c>
      <c r="D259" s="3" t="s">
        <v>203</v>
      </c>
      <c r="E259" s="3" t="s">
        <v>294</v>
      </c>
      <c r="F259" s="3" t="s">
        <v>293</v>
      </c>
      <c r="G259" s="5">
        <v>95006.8</v>
      </c>
      <c r="H259" s="4">
        <v>43</v>
      </c>
      <c r="I259" s="5">
        <v>0</v>
      </c>
      <c r="J259" s="5">
        <v>-0.52</v>
      </c>
      <c r="K259" s="5">
        <v>-15.2</v>
      </c>
      <c r="L259" s="5">
        <v>295.13</v>
      </c>
      <c r="M259" s="9"/>
      <c r="N259" s="9"/>
    </row>
    <row r="260" spans="1:14" ht="15" customHeight="1" x14ac:dyDescent="0.2">
      <c r="A260" s="1" t="s">
        <v>261</v>
      </c>
      <c r="B260" s="6">
        <v>44</v>
      </c>
      <c r="C260" s="1" t="s">
        <v>6</v>
      </c>
      <c r="D260" s="1" t="s">
        <v>198</v>
      </c>
      <c r="E260" s="1" t="s">
        <v>292</v>
      </c>
      <c r="F260" s="1" t="s">
        <v>293</v>
      </c>
      <c r="G260" s="7">
        <v>95431.3</v>
      </c>
      <c r="H260" s="6">
        <v>44</v>
      </c>
      <c r="I260" s="7">
        <v>0</v>
      </c>
      <c r="J260" s="7">
        <v>0</v>
      </c>
      <c r="K260" s="7">
        <v>0</v>
      </c>
      <c r="L260" s="7">
        <v>295.13</v>
      </c>
      <c r="M260" s="10" t="s">
        <v>201</v>
      </c>
      <c r="N260" s="10"/>
    </row>
    <row r="261" spans="1:14" ht="15" customHeight="1" x14ac:dyDescent="0.2">
      <c r="A261" s="3" t="s">
        <v>262</v>
      </c>
      <c r="B261" s="4">
        <v>45</v>
      </c>
      <c r="C261" s="3" t="s">
        <v>6</v>
      </c>
      <c r="D261" s="3" t="s">
        <v>198</v>
      </c>
      <c r="E261" s="3" t="s">
        <v>292</v>
      </c>
      <c r="F261" s="3" t="s">
        <v>293</v>
      </c>
      <c r="G261" s="5">
        <v>95228.3</v>
      </c>
      <c r="H261" s="4">
        <v>45</v>
      </c>
      <c r="I261" s="5">
        <v>0</v>
      </c>
      <c r="J261" s="5">
        <v>0</v>
      </c>
      <c r="K261" s="5">
        <v>0</v>
      </c>
      <c r="L261" s="5">
        <v>295.13</v>
      </c>
      <c r="M261" s="9" t="s">
        <v>201</v>
      </c>
      <c r="N261" s="9"/>
    </row>
    <row r="262" spans="1:14" ht="15" customHeight="1" x14ac:dyDescent="0.2">
      <c r="A262" s="1" t="s">
        <v>263</v>
      </c>
      <c r="B262" s="6">
        <v>46</v>
      </c>
      <c r="C262" s="1" t="s">
        <v>6</v>
      </c>
      <c r="D262" s="1" t="s">
        <v>198</v>
      </c>
      <c r="E262" s="1" t="s">
        <v>292</v>
      </c>
      <c r="F262" s="1" t="s">
        <v>293</v>
      </c>
      <c r="G262" s="7">
        <v>95221.9</v>
      </c>
      <c r="H262" s="6">
        <v>46</v>
      </c>
      <c r="I262" s="7">
        <v>0</v>
      </c>
      <c r="J262" s="7">
        <v>0</v>
      </c>
      <c r="K262" s="7">
        <v>0</v>
      </c>
      <c r="L262" s="7">
        <v>295.13</v>
      </c>
      <c r="M262" s="10" t="s">
        <v>201</v>
      </c>
      <c r="N262" s="10"/>
    </row>
    <row r="263" spans="1:14" ht="15" customHeight="1" x14ac:dyDescent="0.2">
      <c r="A263" s="3" t="s">
        <v>264</v>
      </c>
      <c r="B263" s="4">
        <v>47</v>
      </c>
      <c r="C263" s="3" t="s">
        <v>6</v>
      </c>
      <c r="D263" s="3" t="s">
        <v>203</v>
      </c>
      <c r="E263" s="3" t="s">
        <v>294</v>
      </c>
      <c r="F263" s="3" t="s">
        <v>293</v>
      </c>
      <c r="G263" s="5">
        <v>95098.95</v>
      </c>
      <c r="H263" s="4">
        <v>47</v>
      </c>
      <c r="I263" s="5">
        <v>0</v>
      </c>
      <c r="J263" s="5">
        <v>0</v>
      </c>
      <c r="K263" s="5">
        <v>-3.32</v>
      </c>
      <c r="L263" s="5">
        <v>291.81</v>
      </c>
      <c r="M263" s="9" t="s">
        <v>265</v>
      </c>
      <c r="N263" s="9"/>
    </row>
    <row r="264" spans="1:14" ht="15" customHeight="1" x14ac:dyDescent="0.2">
      <c r="A264" s="1" t="s">
        <v>266</v>
      </c>
      <c r="B264" s="6">
        <v>48</v>
      </c>
      <c r="C264" s="1" t="s">
        <v>6</v>
      </c>
      <c r="D264" s="1" t="s">
        <v>203</v>
      </c>
      <c r="E264" s="1" t="s">
        <v>294</v>
      </c>
      <c r="F264" s="1" t="s">
        <v>293</v>
      </c>
      <c r="G264" s="7">
        <v>95017.4</v>
      </c>
      <c r="H264" s="6">
        <v>48</v>
      </c>
      <c r="I264" s="7">
        <v>0</v>
      </c>
      <c r="J264" s="7">
        <v>0</v>
      </c>
      <c r="K264" s="7">
        <v>-2.0499999999999998</v>
      </c>
      <c r="L264" s="7">
        <v>289.76</v>
      </c>
      <c r="M264" s="10" t="s">
        <v>267</v>
      </c>
      <c r="N264" s="10"/>
    </row>
    <row r="265" spans="1:14" ht="15" customHeight="1" x14ac:dyDescent="0.2">
      <c r="A265" s="3" t="s">
        <v>268</v>
      </c>
      <c r="B265" s="4">
        <v>49</v>
      </c>
      <c r="C265" s="3" t="s">
        <v>6</v>
      </c>
      <c r="D265" s="3" t="s">
        <v>203</v>
      </c>
      <c r="E265" s="3" t="s">
        <v>294</v>
      </c>
      <c r="F265" s="3" t="s">
        <v>293</v>
      </c>
      <c r="G265" s="5">
        <v>94994.8</v>
      </c>
      <c r="H265" s="4">
        <v>49</v>
      </c>
      <c r="I265" s="5">
        <v>0</v>
      </c>
      <c r="J265" s="5">
        <v>0</v>
      </c>
      <c r="K265" s="5">
        <v>-2.34</v>
      </c>
      <c r="L265" s="5">
        <v>287.42</v>
      </c>
      <c r="M265" s="9" t="s">
        <v>269</v>
      </c>
      <c r="N265" s="9"/>
    </row>
    <row r="266" spans="1:14" ht="15" customHeight="1" x14ac:dyDescent="0.2">
      <c r="A266" s="1" t="s">
        <v>270</v>
      </c>
      <c r="B266" s="6">
        <v>50</v>
      </c>
      <c r="C266" s="1" t="s">
        <v>6</v>
      </c>
      <c r="D266" s="1" t="s">
        <v>198</v>
      </c>
      <c r="E266" s="1" t="s">
        <v>292</v>
      </c>
      <c r="F266" s="1" t="s">
        <v>293</v>
      </c>
      <c r="G266" s="7">
        <v>94904.7</v>
      </c>
      <c r="H266" s="6">
        <v>50</v>
      </c>
      <c r="I266" s="7">
        <v>0</v>
      </c>
      <c r="J266" s="7">
        <v>0</v>
      </c>
      <c r="K266" s="7">
        <v>0</v>
      </c>
      <c r="L266" s="7">
        <v>287.42</v>
      </c>
      <c r="M266" s="10" t="s">
        <v>201</v>
      </c>
      <c r="N266" s="10"/>
    </row>
    <row r="267" spans="1:14" ht="15" customHeight="1" x14ac:dyDescent="0.2">
      <c r="A267" s="3" t="s">
        <v>271</v>
      </c>
      <c r="B267" s="4">
        <v>51</v>
      </c>
      <c r="C267" s="3" t="s">
        <v>6</v>
      </c>
      <c r="D267" s="3" t="s">
        <v>203</v>
      </c>
      <c r="E267" s="3" t="s">
        <v>294</v>
      </c>
      <c r="F267" s="3" t="s">
        <v>293</v>
      </c>
      <c r="G267" s="5">
        <v>94503.8</v>
      </c>
      <c r="H267" s="4">
        <v>51</v>
      </c>
      <c r="I267" s="5">
        <v>0</v>
      </c>
      <c r="J267" s="5">
        <v>0</v>
      </c>
      <c r="K267" s="5">
        <v>-4.01</v>
      </c>
      <c r="L267" s="5">
        <v>283.41000000000003</v>
      </c>
      <c r="M267" s="9" t="s">
        <v>272</v>
      </c>
      <c r="N267" s="9"/>
    </row>
    <row r="268" spans="1:14" ht="15" customHeight="1" x14ac:dyDescent="0.2">
      <c r="A268" s="1" t="s">
        <v>273</v>
      </c>
      <c r="B268" s="6">
        <v>52</v>
      </c>
      <c r="C268" s="1" t="s">
        <v>6</v>
      </c>
      <c r="D268" s="1" t="s">
        <v>198</v>
      </c>
      <c r="E268" s="1" t="s">
        <v>292</v>
      </c>
      <c r="F268" s="1" t="s">
        <v>293</v>
      </c>
      <c r="G268" s="7">
        <v>94598.3</v>
      </c>
      <c r="H268" s="6">
        <v>52</v>
      </c>
      <c r="I268" s="7">
        <v>0</v>
      </c>
      <c r="J268" s="7">
        <v>0</v>
      </c>
      <c r="K268" s="7">
        <v>0</v>
      </c>
      <c r="L268" s="7">
        <v>283.41000000000003</v>
      </c>
      <c r="M268" s="10" t="s">
        <v>201</v>
      </c>
      <c r="N268" s="10"/>
    </row>
    <row r="269" spans="1:14" ht="15" customHeight="1" x14ac:dyDescent="0.2">
      <c r="A269" s="3" t="s">
        <v>274</v>
      </c>
      <c r="B269" s="4">
        <v>53</v>
      </c>
      <c r="C269" s="3" t="s">
        <v>6</v>
      </c>
      <c r="D269" s="3" t="s">
        <v>203</v>
      </c>
      <c r="E269" s="3" t="s">
        <v>294</v>
      </c>
      <c r="F269" s="3" t="s">
        <v>293</v>
      </c>
      <c r="G269" s="5">
        <v>93560</v>
      </c>
      <c r="H269" s="4">
        <v>53</v>
      </c>
      <c r="I269" s="5">
        <v>0</v>
      </c>
      <c r="J269" s="5">
        <v>0</v>
      </c>
      <c r="K269" s="5">
        <v>-10.38</v>
      </c>
      <c r="L269" s="5">
        <v>273.02999999999997</v>
      </c>
      <c r="M269" s="9"/>
      <c r="N269" s="9"/>
    </row>
    <row r="270" spans="1:14" ht="15" customHeight="1" x14ac:dyDescent="0.2">
      <c r="A270" s="1" t="s">
        <v>275</v>
      </c>
      <c r="B270" s="6">
        <v>54</v>
      </c>
      <c r="C270" s="1" t="s">
        <v>6</v>
      </c>
      <c r="D270" s="1" t="s">
        <v>198</v>
      </c>
      <c r="E270" s="1" t="s">
        <v>292</v>
      </c>
      <c r="F270" s="1" t="s">
        <v>293</v>
      </c>
      <c r="G270" s="7">
        <v>93014</v>
      </c>
      <c r="H270" s="6">
        <v>54</v>
      </c>
      <c r="I270" s="7">
        <v>0</v>
      </c>
      <c r="J270" s="7">
        <v>0</v>
      </c>
      <c r="K270" s="7">
        <v>0</v>
      </c>
      <c r="L270" s="7">
        <v>273.02999999999997</v>
      </c>
      <c r="M270" s="10" t="s">
        <v>201</v>
      </c>
      <c r="N270" s="10"/>
    </row>
    <row r="271" spans="1:14" ht="15" customHeight="1" x14ac:dyDescent="0.2">
      <c r="A271" s="3" t="s">
        <v>276</v>
      </c>
      <c r="B271" s="4">
        <v>55</v>
      </c>
      <c r="C271" s="3" t="s">
        <v>6</v>
      </c>
      <c r="D271" s="3" t="s">
        <v>203</v>
      </c>
      <c r="E271" s="3" t="s">
        <v>294</v>
      </c>
      <c r="F271" s="3" t="s">
        <v>293</v>
      </c>
      <c r="G271" s="5">
        <v>92560.1</v>
      </c>
      <c r="H271" s="4">
        <v>55</v>
      </c>
      <c r="I271" s="5">
        <v>0</v>
      </c>
      <c r="J271" s="5">
        <v>0</v>
      </c>
      <c r="K271" s="5">
        <v>-4.54</v>
      </c>
      <c r="L271" s="5">
        <v>268.49</v>
      </c>
      <c r="M271" s="9" t="s">
        <v>277</v>
      </c>
      <c r="N271" s="9"/>
    </row>
    <row r="272" spans="1:14" ht="15" customHeight="1" x14ac:dyDescent="0.2">
      <c r="A272" s="1" t="s">
        <v>278</v>
      </c>
      <c r="B272" s="6">
        <v>56</v>
      </c>
      <c r="C272" s="1" t="s">
        <v>6</v>
      </c>
      <c r="D272" s="1" t="s">
        <v>198</v>
      </c>
      <c r="E272" s="1" t="s">
        <v>292</v>
      </c>
      <c r="F272" s="1" t="s">
        <v>293</v>
      </c>
      <c r="G272" s="7">
        <v>92580.3</v>
      </c>
      <c r="H272" s="6">
        <v>56</v>
      </c>
      <c r="I272" s="7">
        <v>0</v>
      </c>
      <c r="J272" s="7">
        <v>0</v>
      </c>
      <c r="K272" s="7">
        <v>0</v>
      </c>
      <c r="L272" s="7">
        <v>268.49</v>
      </c>
      <c r="M272" s="10" t="s">
        <v>201</v>
      </c>
      <c r="N272" s="10"/>
    </row>
    <row r="273" spans="1:14" ht="15" customHeight="1" x14ac:dyDescent="0.2">
      <c r="A273" s="3" t="s">
        <v>279</v>
      </c>
      <c r="B273" s="4">
        <v>57</v>
      </c>
      <c r="C273" s="3" t="s">
        <v>6</v>
      </c>
      <c r="D273" s="3" t="s">
        <v>203</v>
      </c>
      <c r="E273" s="3" t="s">
        <v>294</v>
      </c>
      <c r="F273" s="3" t="s">
        <v>293</v>
      </c>
      <c r="G273" s="5">
        <v>91800.1</v>
      </c>
      <c r="H273" s="4">
        <v>57</v>
      </c>
      <c r="I273" s="5">
        <v>0</v>
      </c>
      <c r="J273" s="5">
        <v>0</v>
      </c>
      <c r="K273" s="5">
        <v>-7.8</v>
      </c>
      <c r="L273" s="5">
        <v>260.69</v>
      </c>
      <c r="M273" s="9" t="s">
        <v>280</v>
      </c>
      <c r="N273" s="9"/>
    </row>
    <row r="274" spans="1:14" ht="15" customHeight="1" x14ac:dyDescent="0.2">
      <c r="A274" s="1" t="s">
        <v>281</v>
      </c>
      <c r="B274" s="6">
        <v>58</v>
      </c>
      <c r="C274" s="1" t="s">
        <v>6</v>
      </c>
      <c r="D274" s="1" t="s">
        <v>198</v>
      </c>
      <c r="E274" s="1" t="s">
        <v>292</v>
      </c>
      <c r="F274" s="1" t="s">
        <v>293</v>
      </c>
      <c r="G274" s="7">
        <v>73241.899999999994</v>
      </c>
      <c r="H274" s="6">
        <v>58</v>
      </c>
      <c r="I274" s="7">
        <v>0</v>
      </c>
      <c r="J274" s="7">
        <v>0</v>
      </c>
      <c r="K274" s="7">
        <v>0</v>
      </c>
      <c r="L274" s="7">
        <v>260.69</v>
      </c>
      <c r="M274" s="10" t="s">
        <v>201</v>
      </c>
      <c r="N274" s="10"/>
    </row>
    <row r="275" spans="1:14" ht="15" customHeight="1" x14ac:dyDescent="0.2">
      <c r="A275" s="3" t="s">
        <v>282</v>
      </c>
      <c r="B275" s="4">
        <v>59</v>
      </c>
      <c r="C275" s="3" t="s">
        <v>6</v>
      </c>
      <c r="D275" s="3" t="s">
        <v>203</v>
      </c>
      <c r="E275" s="3" t="s">
        <v>294</v>
      </c>
      <c r="F275" s="3" t="s">
        <v>293</v>
      </c>
      <c r="G275" s="5">
        <v>72249</v>
      </c>
      <c r="H275" s="4">
        <v>59</v>
      </c>
      <c r="I275" s="5">
        <v>0</v>
      </c>
      <c r="J275" s="5">
        <v>-0.26</v>
      </c>
      <c r="K275" s="5">
        <v>-9.93</v>
      </c>
      <c r="L275" s="5">
        <v>250.5</v>
      </c>
      <c r="M275" s="9"/>
      <c r="N275" s="9"/>
    </row>
    <row r="276" spans="1:14" ht="20.100000000000001" customHeight="1" x14ac:dyDescent="0.2">
      <c r="A276" s="11"/>
      <c r="B276" s="11"/>
      <c r="C276" s="11"/>
      <c r="D276" s="11"/>
      <c r="E276" s="11"/>
      <c r="F276" s="11"/>
      <c r="G276" s="11"/>
      <c r="H276" s="11"/>
      <c r="I276" s="8">
        <f>SUM(Sheet1!I217:I275)</f>
        <v>0</v>
      </c>
      <c r="J276" s="8">
        <f>SUM(Sheet1!J217:J275)</f>
        <v>-1.56</v>
      </c>
      <c r="K276" s="8">
        <v>-47.94</v>
      </c>
      <c r="L276" s="8">
        <v>250.5</v>
      </c>
      <c r="M276" s="11"/>
      <c r="N276" s="11"/>
    </row>
  </sheetData>
  <mergeCells count="452"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65:N65"/>
    <mergeCell ref="D66:N66"/>
    <mergeCell ref="D67:N67"/>
    <mergeCell ref="D68:N68"/>
    <mergeCell ref="D69:N69"/>
    <mergeCell ref="D70:N70"/>
    <mergeCell ref="D71:N71"/>
    <mergeCell ref="D72:N72"/>
    <mergeCell ref="D73:N73"/>
    <mergeCell ref="D74:N74"/>
    <mergeCell ref="D75:N75"/>
    <mergeCell ref="D76:N76"/>
    <mergeCell ref="D77:N77"/>
    <mergeCell ref="D78:N78"/>
    <mergeCell ref="D79:N79"/>
    <mergeCell ref="D80:N80"/>
    <mergeCell ref="D81:N81"/>
    <mergeCell ref="D82:N82"/>
    <mergeCell ref="D83:N83"/>
    <mergeCell ref="D84:N84"/>
    <mergeCell ref="D85:N85"/>
    <mergeCell ref="D86:N86"/>
    <mergeCell ref="D87:N87"/>
    <mergeCell ref="D88:N88"/>
    <mergeCell ref="D89:N89"/>
    <mergeCell ref="D90:N90"/>
    <mergeCell ref="D91:N91"/>
    <mergeCell ref="D92:N92"/>
    <mergeCell ref="D93:N93"/>
    <mergeCell ref="D94:N94"/>
    <mergeCell ref="D95:N95"/>
    <mergeCell ref="D96:N96"/>
    <mergeCell ref="D97:N97"/>
    <mergeCell ref="D98:N98"/>
    <mergeCell ref="D99:N99"/>
    <mergeCell ref="D100:N100"/>
    <mergeCell ref="D101:N101"/>
    <mergeCell ref="D102:N102"/>
    <mergeCell ref="D103:N103"/>
    <mergeCell ref="D104:N104"/>
    <mergeCell ref="D105:N105"/>
    <mergeCell ref="D106:N106"/>
    <mergeCell ref="A107:C107"/>
    <mergeCell ref="D107:N107"/>
    <mergeCell ref="A108:C108"/>
    <mergeCell ref="D108:N108"/>
    <mergeCell ref="A109:C109"/>
    <mergeCell ref="D109:N109"/>
    <mergeCell ref="A110:C110"/>
    <mergeCell ref="D110:N110"/>
    <mergeCell ref="A111:N111"/>
    <mergeCell ref="A112:C112"/>
    <mergeCell ref="D112"/>
    <mergeCell ref="A113:C113"/>
    <mergeCell ref="D113"/>
    <mergeCell ref="E113:G113"/>
    <mergeCell ref="H113"/>
    <mergeCell ref="I113:K113"/>
    <mergeCell ref="L113:N113"/>
    <mergeCell ref="A114:C114"/>
    <mergeCell ref="D114"/>
    <mergeCell ref="E114:G114"/>
    <mergeCell ref="H114"/>
    <mergeCell ref="I114:K114"/>
    <mergeCell ref="L114:N114"/>
    <mergeCell ref="A115:C115"/>
    <mergeCell ref="D115"/>
    <mergeCell ref="E115:G115"/>
    <mergeCell ref="H115"/>
    <mergeCell ref="I115:K115"/>
    <mergeCell ref="L115:N115"/>
    <mergeCell ref="A116:C116"/>
    <mergeCell ref="D116"/>
    <mergeCell ref="E116:G116"/>
    <mergeCell ref="H116"/>
    <mergeCell ref="I116:K116"/>
    <mergeCell ref="L116:N116"/>
    <mergeCell ref="A118:C118"/>
    <mergeCell ref="D118"/>
    <mergeCell ref="E118:G118"/>
    <mergeCell ref="H118"/>
    <mergeCell ref="I118:K118"/>
    <mergeCell ref="L118:N118"/>
    <mergeCell ref="A119:C119"/>
    <mergeCell ref="D119"/>
    <mergeCell ref="E119:G119"/>
    <mergeCell ref="H119"/>
    <mergeCell ref="I119:K119"/>
    <mergeCell ref="L119:N119"/>
    <mergeCell ref="A120:C120"/>
    <mergeCell ref="D120"/>
    <mergeCell ref="E120:G120"/>
    <mergeCell ref="H120"/>
    <mergeCell ref="I120:K120"/>
    <mergeCell ref="L120:N120"/>
    <mergeCell ref="A121:C121"/>
    <mergeCell ref="D121"/>
    <mergeCell ref="E121:G121"/>
    <mergeCell ref="H121"/>
    <mergeCell ref="A123:C123"/>
    <mergeCell ref="D123"/>
    <mergeCell ref="E123:G123"/>
    <mergeCell ref="H123"/>
    <mergeCell ref="I123:K123"/>
    <mergeCell ref="L123:N123"/>
    <mergeCell ref="A124:C124"/>
    <mergeCell ref="D124"/>
    <mergeCell ref="E124:G124"/>
    <mergeCell ref="H124"/>
    <mergeCell ref="I124:K124"/>
    <mergeCell ref="L124:N124"/>
    <mergeCell ref="A126:C126"/>
    <mergeCell ref="D126"/>
    <mergeCell ref="E126:G126"/>
    <mergeCell ref="H126"/>
    <mergeCell ref="I126:K126"/>
    <mergeCell ref="L126:N126"/>
    <mergeCell ref="A127:C127"/>
    <mergeCell ref="D127"/>
    <mergeCell ref="E127:G127"/>
    <mergeCell ref="H127"/>
    <mergeCell ref="I127:K127"/>
    <mergeCell ref="L127:N127"/>
    <mergeCell ref="E128:G128"/>
    <mergeCell ref="H128"/>
    <mergeCell ref="I128:K128"/>
    <mergeCell ref="L128:N128"/>
    <mergeCell ref="E129:G129"/>
    <mergeCell ref="H129"/>
    <mergeCell ref="I129:K129"/>
    <mergeCell ref="L129:N129"/>
    <mergeCell ref="E130:G130"/>
    <mergeCell ref="H130"/>
    <mergeCell ref="I130:K130"/>
    <mergeCell ref="L130:N130"/>
    <mergeCell ref="E131:G131"/>
    <mergeCell ref="H131"/>
    <mergeCell ref="I131:K131"/>
    <mergeCell ref="L131:N131"/>
    <mergeCell ref="E132:G132"/>
    <mergeCell ref="H132"/>
    <mergeCell ref="I132:K132"/>
    <mergeCell ref="L132:N132"/>
    <mergeCell ref="A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A215:N215"/>
    <mergeCell ref="M216:N216"/>
    <mergeCell ref="M217:N217"/>
    <mergeCell ref="M218:N218"/>
    <mergeCell ref="M219:N219"/>
    <mergeCell ref="M220:N220"/>
    <mergeCell ref="M221:N221"/>
    <mergeCell ref="M222:N222"/>
    <mergeCell ref="M223:N223"/>
    <mergeCell ref="M224:N224"/>
    <mergeCell ref="M225:N225"/>
    <mergeCell ref="M226:N226"/>
    <mergeCell ref="M227:N227"/>
    <mergeCell ref="M228:N228"/>
    <mergeCell ref="M229:N229"/>
    <mergeCell ref="M230:N230"/>
    <mergeCell ref="M231:N231"/>
    <mergeCell ref="M232:N232"/>
    <mergeCell ref="M233:N233"/>
    <mergeCell ref="M234:N234"/>
    <mergeCell ref="M235:N235"/>
    <mergeCell ref="M236:N236"/>
    <mergeCell ref="M237:N237"/>
    <mergeCell ref="M238:N238"/>
    <mergeCell ref="M239:N239"/>
    <mergeCell ref="M240:N240"/>
    <mergeCell ref="M241:N241"/>
    <mergeCell ref="M242:N242"/>
    <mergeCell ref="M243:N243"/>
    <mergeCell ref="M244:N244"/>
    <mergeCell ref="M245:N245"/>
    <mergeCell ref="M246:N246"/>
    <mergeCell ref="M247:N247"/>
    <mergeCell ref="M248:N248"/>
    <mergeCell ref="M249:N249"/>
    <mergeCell ref="M250:N250"/>
    <mergeCell ref="M251:N251"/>
    <mergeCell ref="M252:N252"/>
    <mergeCell ref="M253:N253"/>
    <mergeCell ref="M254:N254"/>
    <mergeCell ref="M255:N255"/>
    <mergeCell ref="M256:N256"/>
    <mergeCell ref="M257:N257"/>
    <mergeCell ref="M258:N258"/>
    <mergeCell ref="M259:N259"/>
    <mergeCell ref="M260:N260"/>
    <mergeCell ref="M261:N261"/>
    <mergeCell ref="M262:N262"/>
    <mergeCell ref="M263:N263"/>
    <mergeCell ref="M264:N264"/>
    <mergeCell ref="M265:N265"/>
    <mergeCell ref="M266:N266"/>
    <mergeCell ref="M267:N267"/>
    <mergeCell ref="M268:N268"/>
    <mergeCell ref="M269:N269"/>
    <mergeCell ref="M270:N270"/>
    <mergeCell ref="M271:N271"/>
    <mergeCell ref="M272:N272"/>
    <mergeCell ref="M273:N273"/>
    <mergeCell ref="M274:N274"/>
    <mergeCell ref="M275:N275"/>
    <mergeCell ref="A276:H276"/>
    <mergeCell ref="M276:N276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316968216:Demo Account</dc:subject>
  <dc:creator>XM Global Limited</dc:creator>
  <dc:description>Trade report contains current client positions and exposure</dc:description>
  <cp:lastModifiedBy>Tanapong Srikaew</cp:lastModifiedBy>
  <dcterms:created xsi:type="dcterms:W3CDTF">2026-08-10T22:18:00Z</dcterms:created>
  <dcterms:modified xsi:type="dcterms:W3CDTF">2026-09-11T08:18:30Z</dcterms:modified>
  <cp:category>Reports</cp:category>
</cp:coreProperties>
</file>