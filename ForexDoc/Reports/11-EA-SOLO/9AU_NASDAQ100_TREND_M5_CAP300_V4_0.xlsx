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37d1a9c3b931657/1Drive-Documents/MQL5/ACTIVE_MQ5/EXCEL 11 EA SOLO/"/>
    </mc:Choice>
  </mc:AlternateContent>
  <xr:revisionPtr revIDLastSave="1" documentId="13_ncr:1_{BD9DB6C7-E817-4AF4-8D7A-B73B7DA84584}" xr6:coauthVersionLast="47" xr6:coauthVersionMax="47" xr10:uidLastSave="{6051FD18-6761-475B-A0DF-FFB6F4534055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6" i="1" l="1"/>
  <c r="Q85" i="1"/>
  <c r="Q84" i="1"/>
  <c r="J244" i="1"/>
  <c r="I244" i="1"/>
</calcChain>
</file>

<file path=xl/sharedStrings.xml><?xml version="1.0" encoding="utf-8"?>
<sst xmlns="http://schemas.openxmlformats.org/spreadsheetml/2006/main" count="888" uniqueCount="259">
  <si>
    <t>Strategy Tester Report</t>
  </si>
  <si>
    <t>XMGlobal-MT5 7 (Build 5836)</t>
  </si>
  <si>
    <t>Settings</t>
  </si>
  <si>
    <t>Expert:</t>
  </si>
  <si>
    <t>Symbol:</t>
  </si>
  <si>
    <t>US100Cash#</t>
  </si>
  <si>
    <t>Period:</t>
  </si>
  <si>
    <t>M5 (2025.08.01 - 2026.04.30)</t>
  </si>
  <si>
    <t>Inputs:</t>
  </si>
  <si>
    <t>InpMagicNumber=919294</t>
  </si>
  <si>
    <t>=== Step A: Filter ====</t>
  </si>
  <si>
    <t>InpTrendEMA=200</t>
  </si>
  <si>
    <t>InpFilterTF=16385</t>
  </si>
  <si>
    <t>InpRSIPeriod=14</t>
  </si>
  <si>
    <t>InpRSIUpperLevel=58.0</t>
  </si>
  <si>
    <t>InpRSILowerLevel=48.0</t>
  </si>
  <si>
    <t>InpRSIBuyZoneHigh=55.0</t>
  </si>
  <si>
    <t>=== Silver RSI Pro Filter ====</t>
  </si>
  <si>
    <t>InpRSIPeriodH1=14</t>
  </si>
  <si>
    <t>InpRSILowerLevelH1=50.0</t>
  </si>
  <si>
    <t>InpRSIUpperLevelH1=64.0</t>
  </si>
  <si>
    <t>InpUseDualTF=true</t>
  </si>
  <si>
    <t>=== Trend Strength (ADX) ====</t>
  </si>
  <si>
    <t>InpADXPeriod=14</t>
  </si>
  <si>
    <t>InpADXMin=20.0</t>
  </si>
  <si>
    <t>=== Step B: Grid &amp; Lot ====</t>
  </si>
  <si>
    <t>InpEnableDynamicGrid=true</t>
  </si>
  <si>
    <t>InpATRPeriod=14</t>
  </si>
  <si>
    <t>InpATRMultiplier=5.5</t>
  </si>
  <si>
    <t>InpInitialLot=0.1</t>
  </si>
  <si>
    <t>InpBaseMultiplier=1.12</t>
  </si>
  <si>
    <t>InpReductionStep=0.03</t>
  </si>
  <si>
    <t>InpMinMultiplier=1.05</t>
  </si>
  <si>
    <t>InpMaxOrders=4</t>
  </si>
  <si>
    <t>=== Step C: Profit &amp; Exit ====</t>
  </si>
  <si>
    <t>InpBasketTP=34.0</t>
  </si>
  <si>
    <t>InpBasketCutLoss=30.0</t>
  </si>
  <si>
    <t>InpMaxGridDepthATR=6.0</t>
  </si>
  <si>
    <t>InpEnablePartialClose=true</t>
  </si>
  <si>
    <t>InpPartialCloseLevel=0.7</t>
  </si>
  <si>
    <t>InpHardSLMultiplier=8.0</t>
  </si>
  <si>
    <t>InpMinHoldBars=20</t>
  </si>
  <si>
    <t>=== Step D: News Filter ====</t>
  </si>
  <si>
    <t>EnableNewsFilter=true</t>
  </si>
  <si>
    <t>NewsBeforeMinutes=60</t>
  </si>
  <si>
    <t>NewsAfterMinutes=60</t>
  </si>
  <si>
    <t>NewsHighImpactOnly=true</t>
  </si>
  <si>
    <t>=== Step E: Safety &amp; Protection ====</t>
  </si>
  <si>
    <t>InpEnableEquityStop=true</t>
  </si>
  <si>
    <t>InpSoftStopPercent=20.0</t>
  </si>
  <si>
    <t>InpKillSwitchPercent=25.0</t>
  </si>
  <si>
    <t>InpTrailStartUSD=18.0</t>
  </si>
  <si>
    <t>InpTrailStepATR=1.8</t>
  </si>
  <si>
    <t>InpMaxHoldDays=60</t>
  </si>
  <si>
    <t>InpMinATRThreshold=0.02</t>
  </si>
  <si>
    <t>InpMaxSpreadBase=210.0</t>
  </si>
  <si>
    <t>InpMaxSpreadHighVol=290.0</t>
  </si>
  <si>
    <t>InpMaxExposurePercent=20000.0</t>
  </si>
  <si>
    <t>InpMinMarginLevel=700.0</t>
  </si>
  <si>
    <t>=== Step F: Time Filter ====</t>
  </si>
  <si>
    <t>EnableTimeFilter=true</t>
  </si>
  <si>
    <t>TradingStartHour=8</t>
  </si>
  <si>
    <t>TradingEndHour=23</t>
  </si>
  <si>
    <t>StopFridayAfterClose=true</t>
  </si>
  <si>
    <t>FridayCloseHour=18</t>
  </si>
  <si>
    <t>=== Step G: Daily Loss Limit ====</t>
  </si>
  <si>
    <t>EnableDailyLossLimit=true</t>
  </si>
  <si>
    <t>MaxDailyLossPercent=4.5</t>
  </si>
  <si>
    <t>=== Step H: House Money &amp; Compound ====</t>
  </si>
  <si>
    <t>InpBaseBalance=300.0</t>
  </si>
  <si>
    <t>InpHouseMoneyMult=2.0</t>
  </si>
  <si>
    <t>InpCompoundStartMult=1.5</t>
  </si>
  <si>
    <t>InpEnableCompound=true</t>
  </si>
  <si>
    <t>InpCompoundRiskPct=2.0</t>
  </si>
  <si>
    <t>InpCompoundCapMult=3.0</t>
  </si>
  <si>
    <t>InpBlinkIntervalSec=1</t>
  </si>
  <si>
    <t>=== Step I: Telegram ====</t>
  </si>
  <si>
    <t>InpEnableTelegram=true</t>
  </si>
  <si>
    <t>InpToken=8663985469:AAGo473sGCgrWBhKNFLz6p-LGe86ftDvxZE</t>
  </si>
  <si>
    <t>InpChatID=8053031320</t>
  </si>
  <si>
    <t>InpTelegramDDAlert=15.0</t>
  </si>
  <si>
    <t>Company:</t>
  </si>
  <si>
    <t>XM Global Limited</t>
  </si>
  <si>
    <t>Currency:</t>
  </si>
  <si>
    <t>USD</t>
  </si>
  <si>
    <t>Initial Deposit:</t>
  </si>
  <si>
    <t>Leverage:</t>
  </si>
  <si>
    <t>1:1000</t>
  </si>
  <si>
    <t>Results</t>
  </si>
  <si>
    <t>History Quality:</t>
  </si>
  <si>
    <t>100% real ticks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</si>
  <si>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</si>
  <si>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</si>
  <si>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</si>
  <si>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</si>
  <si>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</si>
  <si>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</si>
  <si>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</si>
  <si>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</si>
  <si>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73.78 (22.14%)</t>
  </si>
  <si>
    <t>Equity Drawdown Maximal:</t>
  </si>
  <si>
    <t>85.78 (24.87%)</t>
  </si>
  <si>
    <t>Gross Loss:</t>
  </si>
  <si>
    <t>Balance Drawdown Relative:</t>
  </si>
  <si>
    <t>22.14% (73.78)</t>
  </si>
  <si>
    <t>Equity Drawdown Relative:</t>
  </si>
  <si>
    <t>24.87% (85.78)</t>
  </si>
  <si>
    <t>Profit Factor:</t>
  </si>
  <si>
    <t>Expected Payoff:</t>
  </si>
  <si>
    <t>Margin Level:</t>
  </si>
  <si>
    <t>6163.21%</t>
  </si>
  <si>
    <t>Recovery Factor:</t>
  </si>
  <si>
    <t>Sharpe Ratio:</t>
  </si>
  <si>
    <t>Z-Score:</t>
  </si>
  <si>
    <t>-2.45 (98.57%)</t>
  </si>
  <si>
    <t>AHPR:</t>
  </si>
  <si>
    <t>1.0113 (1.13%)</t>
  </si>
  <si>
    <t>LR Correlation:</t>
  </si>
  <si>
    <t>OnTester result:</t>
  </si>
  <si>
    <t>0</t>
  </si>
  <si>
    <t>GHPR:</t>
  </si>
  <si>
    <t>1.0099 (0.99%)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</si>
  <si>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</si>
  <si>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</si>
  <si>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</si>
  <si>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</si>
  <si>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</si>
  <si>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0:10:00</t>
  </si>
  <si>
    <t>Maximal position holding time:</t>
  </si>
  <si>
    <t>32:37:23</t>
  </si>
  <si>
    <t>Average position holding time:</t>
  </si>
  <si>
    <t>11:25:41</t>
  </si>
  <si>
    <t>Total Trades:</t>
  </si>
  <si>
    <t>Short Trades (won %):</t>
  </si>
  <si>
    <t>0 (0.00%)</t>
  </si>
  <si>
    <t>Long Trades (won %):</t>
  </si>
  <si>
    <t>28 (42.86%)</t>
  </si>
  <si>
    <t>Total Deals:</t>
  </si>
  <si>
    <t>Profit Trades (% of total):</t>
  </si>
  <si>
    <t>12 (42.86%)</t>
  </si>
  <si>
    <t>Loss Trades (% of total):</t>
  </si>
  <si>
    <t>16 (57.14%)</t>
  </si>
  <si>
    <t>Largest profit trade:</t>
  </si>
  <si>
    <t>Largest loss trade:</t>
  </si>
  <si>
    <t>Average profit trade:</t>
  </si>
  <si>
    <t>Average loss trade:</t>
  </si>
  <si>
    <t>Maximum consecutive wins ($):</t>
  </si>
  <si>
    <t>7 (146.69)</t>
  </si>
  <si>
    <t>Maximum consecutive losses ($):</t>
  </si>
  <si>
    <t>7 (-51.60)</t>
  </si>
  <si>
    <t>Maximal consecutive profit (count):</t>
  </si>
  <si>
    <t>146.69 (7)</t>
  </si>
  <si>
    <t>Maximal consecutive loss (count):</t>
  </si>
  <si>
    <t>-73.78 (5)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</si>
  <si>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</si>
  <si>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</si>
  <si>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</si>
  <si>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</si>
  <si>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</si>
  <si>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</si>
  <si>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</si>
  <si>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</si>
  <si>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</si>
  <si>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</si>
  <si>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</si>
  <si>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</si>
  <si>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</si>
  <si>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</si>
  <si>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2025.12.11 17:20:00</t>
  </si>
  <si>
    <t>buy</t>
  </si>
  <si>
    <t>0.1 / 0.1</t>
  </si>
  <si>
    <t>filled</t>
  </si>
  <si>
    <t>9AU_NDAQ100 Sniper</t>
  </si>
  <si>
    <t>2025.12.11 23:30:00</t>
  </si>
  <si>
    <t>sell</t>
  </si>
  <si>
    <t>2025.12.12 12:15:00</t>
  </si>
  <si>
    <t>2025.12.12 13:40:00</t>
  </si>
  <si>
    <t>9AU_NDAQ100 Grid</t>
  </si>
  <si>
    <t>2025.12.12 13:50:00</t>
  </si>
  <si>
    <t>2025.12.12 14:15:00</t>
  </si>
  <si>
    <t>2025.12.12 17:08:26</t>
  </si>
  <si>
    <t>sl 25432.13</t>
  </si>
  <si>
    <t>2025.12.29 05:35:00</t>
  </si>
  <si>
    <t>2025.12.29 09:15:00</t>
  </si>
  <si>
    <t>2025.12.29 13:40:00</t>
  </si>
  <si>
    <t>2025.12.29 15:49:16</t>
  </si>
  <si>
    <t>sl 25474.12</t>
  </si>
  <si>
    <t>2025.12.29 16:35:00</t>
  </si>
  <si>
    <t>2025.12.31 01:12:23</t>
  </si>
  <si>
    <t>2026.01.08 09:20:00</t>
  </si>
  <si>
    <t>2026.01.08 16:45:01</t>
  </si>
  <si>
    <t>sl 25434.83</t>
  </si>
  <si>
    <t>2026.01.08 18:00:00</t>
  </si>
  <si>
    <t>2026.01.12 01:17:30</t>
  </si>
  <si>
    <t>sl 25719.30</t>
  </si>
  <si>
    <t>2026.01.12 08:10:00</t>
  </si>
  <si>
    <t>2026.01.12 18:55:00</t>
  </si>
  <si>
    <t>2026.01.13 21:55:00</t>
  </si>
  <si>
    <t>2026.01.14 12:21:50</t>
  </si>
  <si>
    <t>2026.01.14 14:25:00</t>
  </si>
  <si>
    <t>2026.01.14 16:42:42</t>
  </si>
  <si>
    <t>sl 25480.73</t>
  </si>
  <si>
    <t>2026.01.23 14:00:01</t>
  </si>
  <si>
    <t>2026.01.23 19:40:24</t>
  </si>
  <si>
    <t>sl 25622.82</t>
  </si>
  <si>
    <t>2026.01.26 02:10:00</t>
  </si>
  <si>
    <t>2026.01.26 17:00:00</t>
  </si>
  <si>
    <t>2026.01.28 19:55:00</t>
  </si>
  <si>
    <t>2026.01.29 16:42:23</t>
  </si>
  <si>
    <t>sl 25864.72</t>
  </si>
  <si>
    <t>2026.02.27 08:05:00</t>
  </si>
  <si>
    <t>2026.02.27 13:37:17</t>
  </si>
  <si>
    <t>sl 24922.97</t>
  </si>
  <si>
    <t>2026.03.05 18:40:00</t>
  </si>
  <si>
    <t>2026.03.06 14:30:23</t>
  </si>
  <si>
    <t>2026.03.11 12:10:00</t>
  </si>
  <si>
    <t>2026.03.12 01:09:33</t>
  </si>
  <si>
    <t>2026.03.18 16:10:00</t>
  </si>
  <si>
    <t>2026.03.18 19:01:56</t>
  </si>
  <si>
    <t>2026.04.06 03:00:00</t>
  </si>
  <si>
    <t>2026.04.06 05:40:16</t>
  </si>
  <si>
    <t>sl 24104.83</t>
  </si>
  <si>
    <t>2026.04.07 06:35:00</t>
  </si>
  <si>
    <t>2026.04.07 12:45:55</t>
  </si>
  <si>
    <t>sl 24212.17</t>
  </si>
  <si>
    <t>2026.04.07 16:05:00</t>
  </si>
  <si>
    <t>2026.04.08 01:15:00</t>
  </si>
  <si>
    <t>2026.04.13 03:15:00</t>
  </si>
  <si>
    <t>2026.04.13 16:36:21</t>
  </si>
  <si>
    <t>sl 25027.67</t>
  </si>
  <si>
    <t>2026.04.21 20:40:00</t>
  </si>
  <si>
    <t>2026.04.22 15:29:48</t>
  </si>
  <si>
    <t>sl 26717.86</t>
  </si>
  <si>
    <t>2026.04.23 13:30:00</t>
  </si>
  <si>
    <t>2026.04.23 18:45:58</t>
  </si>
  <si>
    <t>sl 26948.92</t>
  </si>
  <si>
    <t>2026.04.23 21:35:00</t>
  </si>
  <si>
    <t>2026.04.24 14:05:00</t>
  </si>
  <si>
    <t>2026.04.27 18:45:00</t>
  </si>
  <si>
    <t>2026.04.28 12:46:58</t>
  </si>
  <si>
    <t>2026.04.28 16:00:00</t>
  </si>
  <si>
    <t>2026.04.29 23:59:58</t>
  </si>
  <si>
    <t>end of test</t>
  </si>
  <si>
    <t>Deals</t>
  </si>
  <si>
    <t>Deal</t>
  </si>
  <si>
    <t>Direction</t>
  </si>
  <si>
    <t>Commission</t>
  </si>
  <si>
    <t>Swap</t>
  </si>
  <si>
    <t>Profit</t>
  </si>
  <si>
    <t>Balance</t>
  </si>
  <si>
    <t>2025.08.01 00:00:00</t>
  </si>
  <si>
    <t>balance</t>
  </si>
  <si>
    <t>in</t>
  </si>
  <si>
    <t>0.1</t>
  </si>
  <si>
    <t>out</t>
  </si>
  <si>
    <t>MAX</t>
  </si>
  <si>
    <t>MIN</t>
  </si>
  <si>
    <t>AVG</t>
  </si>
  <si>
    <t>9AU_NASDAQ100_TREND_M5_CAP300_V4_0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</si>
</sst>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6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  <font>
      <sz val="11"/>
      <color theme="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5" fillId="6" borderId="0" xfId="0" applyFont="1" applyFill="1" applyAlignment="1">
      <alignment horizontal="center" vertical="center"/>
    </xf>
    <xf numFmtId="164" fontId="0" fillId="0" borderId="0" xfId="0" applyNumberForma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 vertical="center"/>
    </xf>
    <xf numFmtId="0" fontId="4" fillId="5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0" fontId="3" fillId="5" borderId="0" xfId="0" applyFont="1" applyFill="1" applyAlignment="1">
      <alignment horizontal="right" vertical="center"/>
    </xf>
    <xf numFmtId="164" fontId="4" fillId="5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165" fontId="4" fillId="5" borderId="0" xfId="0" applyNumberFormat="1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Sheet1!$A$187:$A$243</c:f>
              <c:strCache>
                <c:ptCount val="57"/>
                <c:pt idx="0">
                  <c:v>2025.08.01 00:00:00</c:v>
                </c:pt>
                <c:pt idx="1">
                  <c:v>2025.12.11 17:20:00</c:v>
                </c:pt>
                <c:pt idx="2">
                  <c:v>2025.12.11 23:30:00</c:v>
                </c:pt>
                <c:pt idx="3">
                  <c:v>2025.12.12 12:15:00</c:v>
                </c:pt>
                <c:pt idx="4">
                  <c:v>2025.12.12 13:40:00</c:v>
                </c:pt>
                <c:pt idx="5">
                  <c:v>2025.12.12 13:50:00</c:v>
                </c:pt>
                <c:pt idx="6">
                  <c:v>2025.12.12 13:50:00</c:v>
                </c:pt>
                <c:pt idx="7">
                  <c:v>2025.12.12 14:15:00</c:v>
                </c:pt>
                <c:pt idx="8">
                  <c:v>2025.12.12 17:08:26</c:v>
                </c:pt>
                <c:pt idx="9">
                  <c:v>2025.12.29 05:35:00</c:v>
                </c:pt>
                <c:pt idx="10">
                  <c:v>2025.12.29 09:15:00</c:v>
                </c:pt>
                <c:pt idx="11">
                  <c:v>2025.12.29 13:40:00</c:v>
                </c:pt>
                <c:pt idx="12">
                  <c:v>2025.12.29 15:49:16</c:v>
                </c:pt>
                <c:pt idx="13">
                  <c:v>2025.12.29 16:35:00</c:v>
                </c:pt>
                <c:pt idx="14">
                  <c:v>2025.12.31 01:12:23</c:v>
                </c:pt>
                <c:pt idx="15">
                  <c:v>2026.01.08 09:20:00</c:v>
                </c:pt>
                <c:pt idx="16">
                  <c:v>2026.01.08 16:45:01</c:v>
                </c:pt>
                <c:pt idx="17">
                  <c:v>2026.01.08 18:00:00</c:v>
                </c:pt>
                <c:pt idx="18">
                  <c:v>2026.01.12 01:17:30</c:v>
                </c:pt>
                <c:pt idx="19">
                  <c:v>2026.01.12 08:10:00</c:v>
                </c:pt>
                <c:pt idx="20">
                  <c:v>2026.01.12 18:55:00</c:v>
                </c:pt>
                <c:pt idx="21">
                  <c:v>2026.01.13 21:55:00</c:v>
                </c:pt>
                <c:pt idx="22">
                  <c:v>2026.01.14 12:21:50</c:v>
                </c:pt>
                <c:pt idx="23">
                  <c:v>2026.01.14 14:25:00</c:v>
                </c:pt>
                <c:pt idx="24">
                  <c:v>2026.01.14 16:42:42</c:v>
                </c:pt>
                <c:pt idx="25">
                  <c:v>2026.01.23 14:00:01</c:v>
                </c:pt>
                <c:pt idx="26">
                  <c:v>2026.01.23 19:40:24</c:v>
                </c:pt>
                <c:pt idx="27">
                  <c:v>2026.01.26 02:10:00</c:v>
                </c:pt>
                <c:pt idx="28">
                  <c:v>2026.01.26 17:00:00</c:v>
                </c:pt>
                <c:pt idx="29">
                  <c:v>2026.01.28 19:55:00</c:v>
                </c:pt>
                <c:pt idx="30">
                  <c:v>2026.01.29 16:42:23</c:v>
                </c:pt>
                <c:pt idx="31">
                  <c:v>2026.02.27 08:05:00</c:v>
                </c:pt>
                <c:pt idx="32">
                  <c:v>2026.02.27 13:37:17</c:v>
                </c:pt>
                <c:pt idx="33">
                  <c:v>2026.03.05 18:40:00</c:v>
                </c:pt>
                <c:pt idx="34">
                  <c:v>2026.03.06 14:30:23</c:v>
                </c:pt>
                <c:pt idx="35">
                  <c:v>2026.03.11 12:10:00</c:v>
                </c:pt>
                <c:pt idx="36">
                  <c:v>2026.03.12 01:09:33</c:v>
                </c:pt>
                <c:pt idx="37">
                  <c:v>2026.03.18 16:10:00</c:v>
                </c:pt>
                <c:pt idx="38">
                  <c:v>2026.03.18 19:01:56</c:v>
                </c:pt>
                <c:pt idx="39">
                  <c:v>2026.04.06 03:00:00</c:v>
                </c:pt>
                <c:pt idx="40">
                  <c:v>2026.04.06 05:40:16</c:v>
                </c:pt>
                <c:pt idx="41">
                  <c:v>2026.04.07 06:35:00</c:v>
                </c:pt>
                <c:pt idx="42">
                  <c:v>2026.04.07 12:45:55</c:v>
                </c:pt>
                <c:pt idx="43">
                  <c:v>2026.04.07 16:05:00</c:v>
                </c:pt>
                <c:pt idx="44">
                  <c:v>2026.04.08 01:15:00</c:v>
                </c:pt>
                <c:pt idx="45">
                  <c:v>2026.04.13 03:15:00</c:v>
                </c:pt>
                <c:pt idx="46">
                  <c:v>2026.04.13 16:36:21</c:v>
                </c:pt>
                <c:pt idx="47">
                  <c:v>2026.04.21 20:40:00</c:v>
                </c:pt>
                <c:pt idx="48">
                  <c:v>2026.04.22 15:29:48</c:v>
                </c:pt>
                <c:pt idx="49">
                  <c:v>2026.04.23 13:30:00</c:v>
                </c:pt>
                <c:pt idx="50">
                  <c:v>2026.04.23 18:45:58</c:v>
                </c:pt>
                <c:pt idx="51">
                  <c:v>2026.04.23 21:35:00</c:v>
                </c:pt>
                <c:pt idx="52">
                  <c:v>2026.04.24 14:05:00</c:v>
                </c:pt>
                <c:pt idx="53">
                  <c:v>2026.04.27 18:45:00</c:v>
                </c:pt>
                <c:pt idx="54">
                  <c:v>2026.04.28 12:46:58</c:v>
                </c:pt>
                <c:pt idx="55">
                  <c:v>2026.04.28 16:00:00</c:v>
                </c:pt>
                <c:pt idx="56">
                  <c:v>2026.04.29 23:59:58</c:v>
                </c:pt>
              </c:strCache>
            </c:strRef>
          </c:cat>
          <c:val>
            <c:numRef>
              <c:f>Sheet1!$L$187:$L$243</c:f>
              <c:numCache>
                <c:formatCode>#\ ##0.00;\-#\ ##0.00;0.00;</c:formatCode>
                <c:ptCount val="57"/>
                <c:pt idx="0">
                  <c:v>300</c:v>
                </c:pt>
                <c:pt idx="1">
                  <c:v>300</c:v>
                </c:pt>
                <c:pt idx="2">
                  <c:v>324.35000000000002</c:v>
                </c:pt>
                <c:pt idx="3">
                  <c:v>324.35000000000002</c:v>
                </c:pt>
                <c:pt idx="4">
                  <c:v>324.35000000000002</c:v>
                </c:pt>
                <c:pt idx="5">
                  <c:v>323.39</c:v>
                </c:pt>
                <c:pt idx="6">
                  <c:v>314.93</c:v>
                </c:pt>
                <c:pt idx="7">
                  <c:v>314.93</c:v>
                </c:pt>
                <c:pt idx="8">
                  <c:v>302.72000000000003</c:v>
                </c:pt>
                <c:pt idx="9">
                  <c:v>302.72000000000003</c:v>
                </c:pt>
                <c:pt idx="10">
                  <c:v>297.02</c:v>
                </c:pt>
                <c:pt idx="11">
                  <c:v>297.02</c:v>
                </c:pt>
                <c:pt idx="12">
                  <c:v>289.72000000000003</c:v>
                </c:pt>
                <c:pt idx="13">
                  <c:v>289.72000000000003</c:v>
                </c:pt>
                <c:pt idx="14">
                  <c:v>283.62</c:v>
                </c:pt>
                <c:pt idx="15">
                  <c:v>283.62</c:v>
                </c:pt>
                <c:pt idx="16">
                  <c:v>272.75</c:v>
                </c:pt>
                <c:pt idx="17">
                  <c:v>272.75</c:v>
                </c:pt>
                <c:pt idx="18">
                  <c:v>291.39</c:v>
                </c:pt>
                <c:pt idx="19">
                  <c:v>291.39</c:v>
                </c:pt>
                <c:pt idx="20">
                  <c:v>315.66000000000003</c:v>
                </c:pt>
                <c:pt idx="21">
                  <c:v>315.66000000000003</c:v>
                </c:pt>
                <c:pt idx="22">
                  <c:v>307.31</c:v>
                </c:pt>
                <c:pt idx="23">
                  <c:v>307.31</c:v>
                </c:pt>
                <c:pt idx="24">
                  <c:v>293.74</c:v>
                </c:pt>
                <c:pt idx="25">
                  <c:v>293.74</c:v>
                </c:pt>
                <c:pt idx="26">
                  <c:v>308.66000000000003</c:v>
                </c:pt>
                <c:pt idx="27">
                  <c:v>308.66000000000003</c:v>
                </c:pt>
                <c:pt idx="28">
                  <c:v>333.29</c:v>
                </c:pt>
                <c:pt idx="29">
                  <c:v>333.29</c:v>
                </c:pt>
                <c:pt idx="30">
                  <c:v>315.56</c:v>
                </c:pt>
                <c:pt idx="31">
                  <c:v>315.56</c:v>
                </c:pt>
                <c:pt idx="32">
                  <c:v>308.06</c:v>
                </c:pt>
                <c:pt idx="33">
                  <c:v>308.06</c:v>
                </c:pt>
                <c:pt idx="34">
                  <c:v>291.02999999999997</c:v>
                </c:pt>
                <c:pt idx="35">
                  <c:v>291.02999999999997</c:v>
                </c:pt>
                <c:pt idx="36">
                  <c:v>275.33999999999997</c:v>
                </c:pt>
                <c:pt idx="37">
                  <c:v>275.33999999999997</c:v>
                </c:pt>
                <c:pt idx="38">
                  <c:v>259.51</c:v>
                </c:pt>
                <c:pt idx="39">
                  <c:v>259.51</c:v>
                </c:pt>
                <c:pt idx="40">
                  <c:v>277.88</c:v>
                </c:pt>
                <c:pt idx="41">
                  <c:v>277.88</c:v>
                </c:pt>
                <c:pt idx="42">
                  <c:v>293.64</c:v>
                </c:pt>
                <c:pt idx="43">
                  <c:v>293.64</c:v>
                </c:pt>
                <c:pt idx="44">
                  <c:v>332.25</c:v>
                </c:pt>
                <c:pt idx="45">
                  <c:v>332.25</c:v>
                </c:pt>
                <c:pt idx="46">
                  <c:v>350.76</c:v>
                </c:pt>
                <c:pt idx="47">
                  <c:v>350.76</c:v>
                </c:pt>
                <c:pt idx="48">
                  <c:v>366.17</c:v>
                </c:pt>
                <c:pt idx="49">
                  <c:v>366.17</c:v>
                </c:pt>
                <c:pt idx="50">
                  <c:v>381.49</c:v>
                </c:pt>
                <c:pt idx="51">
                  <c:v>381.49</c:v>
                </c:pt>
                <c:pt idx="52">
                  <c:v>406.2</c:v>
                </c:pt>
                <c:pt idx="53">
                  <c:v>406.2</c:v>
                </c:pt>
                <c:pt idx="54">
                  <c:v>395.57</c:v>
                </c:pt>
                <c:pt idx="55">
                  <c:v>395.57</c:v>
                </c:pt>
                <c:pt idx="56">
                  <c:v>394.84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CB-4D48-BBF2-23891F61E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447"/>
          <c:min val="234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105</xdr:row>
      <xdr:rowOff>0</xdr:rowOff>
    </xdr:from>
    <xdr:to>
      <xdr:col>13</xdr:col>
      <xdr:colOff>0</xdr:colOff>
      <xdr:row>125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4"/>
  <sheetViews>
    <sheetView tabSelected="1" workbookViewId="0">
      <selection activeCell="D5" sqref="D5:N5"/>
    </sheetView>
  </sheetViews>
  <sheetFormatPr defaultRowHeight="15" customHeight="1" x14ac:dyDescent="0.2"/>
  <cols>
    <col min="1" max="1" width="13" bestFit="1" customWidth="1"/>
    <col min="2" max="2" width="7" bestFit="1" customWidth="1"/>
    <col min="3" max="3" width="9" bestFit="1" customWidth="1"/>
    <col min="4" max="4" width="12.5" customWidth="1"/>
    <col min="5" max="7" width="8" bestFit="1" customWidth="1"/>
    <col min="8" max="8" width="14" customWidth="1"/>
    <col min="9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5" customHeight="1" x14ac:dyDescent="0.2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24.95" customHeight="1" x14ac:dyDescent="0.2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5" customHeight="1" x14ac:dyDescent="0.2">
      <c r="A4" s="14" t="s">
        <v>3</v>
      </c>
      <c r="B4" s="14"/>
      <c r="C4" s="14"/>
      <c r="D4" s="15" t="s">
        <v>258</v>
      </c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ht="15" customHeight="1" x14ac:dyDescent="0.2">
      <c r="A5" s="14" t="s">
        <v>4</v>
      </c>
      <c r="B5" s="14"/>
      <c r="C5" s="14"/>
      <c r="D5" s="16" t="s">
        <v>5</v>
      </c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ht="15" customHeight="1" x14ac:dyDescent="0.2">
      <c r="A6" s="14" t="s">
        <v>6</v>
      </c>
      <c r="B6" s="14"/>
      <c r="C6" s="14"/>
      <c r="D6" s="15" t="s">
        <v>7</v>
      </c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 ht="15" customHeight="1" x14ac:dyDescent="0.2">
      <c r="A7" s="14" t="s">
        <v>8</v>
      </c>
      <c r="B7" s="14"/>
      <c r="C7" s="14"/>
      <c r="D7" s="16" t="s">
        <v>9</v>
      </c>
      <c r="E7" s="16"/>
      <c r="F7" s="16"/>
      <c r="G7" s="16"/>
      <c r="H7" s="16"/>
      <c r="I7" s="16"/>
      <c r="J7" s="16"/>
      <c r="K7" s="16"/>
      <c r="L7" s="16"/>
      <c r="M7" s="16"/>
      <c r="N7" s="16"/>
    </row>
    <row r="8" spans="1:14" ht="15" customHeight="1" x14ac:dyDescent="0.2">
      <c r="D8" s="16" t="s">
        <v>10</v>
      </c>
      <c r="E8" s="16"/>
      <c r="F8" s="16"/>
      <c r="G8" s="16"/>
      <c r="H8" s="16"/>
      <c r="I8" s="16"/>
      <c r="J8" s="16"/>
      <c r="K8" s="16"/>
      <c r="L8" s="16"/>
      <c r="M8" s="16"/>
      <c r="N8" s="16"/>
    </row>
    <row r="9" spans="1:14" ht="15" customHeight="1" x14ac:dyDescent="0.2">
      <c r="D9" s="16" t="s">
        <v>11</v>
      </c>
      <c r="E9" s="16"/>
      <c r="F9" s="16"/>
      <c r="G9" s="16"/>
      <c r="H9" s="16"/>
      <c r="I9" s="16"/>
      <c r="J9" s="16"/>
      <c r="K9" s="16"/>
      <c r="L9" s="16"/>
      <c r="M9" s="16"/>
      <c r="N9" s="16"/>
    </row>
    <row r="10" spans="1:14" ht="15" customHeight="1" x14ac:dyDescent="0.2">
      <c r="D10" s="16" t="s">
        <v>12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</row>
    <row r="11" spans="1:14" ht="15" customHeight="1" x14ac:dyDescent="0.2">
      <c r="D11" s="16" t="s">
        <v>13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</row>
    <row r="12" spans="1:14" ht="15" customHeight="1" x14ac:dyDescent="0.2">
      <c r="D12" s="16" t="s">
        <v>14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</row>
    <row r="13" spans="1:14" ht="15" customHeight="1" x14ac:dyDescent="0.2">
      <c r="D13" s="16" t="s">
        <v>15</v>
      </c>
      <c r="E13" s="16"/>
      <c r="F13" s="16"/>
      <c r="G13" s="16"/>
      <c r="H13" s="16"/>
      <c r="I13" s="16"/>
      <c r="J13" s="16"/>
      <c r="K13" s="16"/>
      <c r="L13" s="16"/>
      <c r="M13" s="16"/>
      <c r="N13" s="16"/>
    </row>
    <row r="14" spans="1:14" ht="15" customHeight="1" x14ac:dyDescent="0.2">
      <c r="D14" s="16" t="s">
        <v>16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</row>
    <row r="15" spans="1:14" ht="15" customHeight="1" x14ac:dyDescent="0.2">
      <c r="D15" s="16" t="s">
        <v>17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</row>
    <row r="16" spans="1:14" ht="15" customHeight="1" x14ac:dyDescent="0.2">
      <c r="D16" s="16" t="s">
        <v>18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</row>
    <row r="17" spans="4:14" ht="15" customHeight="1" x14ac:dyDescent="0.2">
      <c r="D17" s="16" t="s">
        <v>19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</row>
    <row r="18" spans="4:14" ht="15" customHeight="1" x14ac:dyDescent="0.2">
      <c r="D18" s="16" t="s">
        <v>20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</row>
    <row r="19" spans="4:14" ht="15" customHeight="1" x14ac:dyDescent="0.2">
      <c r="D19" s="16" t="s">
        <v>21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</row>
    <row r="20" spans="4:14" ht="15" customHeight="1" x14ac:dyDescent="0.2">
      <c r="D20" s="16" t="s">
        <v>22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</row>
    <row r="21" spans="4:14" ht="15" customHeight="1" x14ac:dyDescent="0.2">
      <c r="D21" s="16" t="s">
        <v>23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</row>
    <row r="22" spans="4:14" ht="15" customHeight="1" x14ac:dyDescent="0.2">
      <c r="D22" s="16" t="s">
        <v>24</v>
      </c>
      <c r="E22" s="16"/>
      <c r="F22" s="16"/>
      <c r="G22" s="16"/>
      <c r="H22" s="16"/>
      <c r="I22" s="16"/>
      <c r="J22" s="16"/>
      <c r="K22" s="16"/>
      <c r="L22" s="16"/>
      <c r="M22" s="16"/>
      <c r="N22" s="16"/>
    </row>
    <row r="23" spans="4:14" ht="15" customHeight="1" x14ac:dyDescent="0.2">
      <c r="D23" s="16" t="s">
        <v>25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</row>
    <row r="24" spans="4:14" ht="15" customHeight="1" x14ac:dyDescent="0.2">
      <c r="D24" s="16" t="s">
        <v>26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</row>
    <row r="25" spans="4:14" ht="15" customHeight="1" x14ac:dyDescent="0.2">
      <c r="D25" s="16" t="s">
        <v>27</v>
      </c>
      <c r="E25" s="16"/>
      <c r="F25" s="16"/>
      <c r="G25" s="16"/>
      <c r="H25" s="16"/>
      <c r="I25" s="16"/>
      <c r="J25" s="16"/>
      <c r="K25" s="16"/>
      <c r="L25" s="16"/>
      <c r="M25" s="16"/>
      <c r="N25" s="16"/>
    </row>
    <row r="26" spans="4:14" ht="15" customHeight="1" x14ac:dyDescent="0.2">
      <c r="D26" s="16" t="s">
        <v>28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spans="4:14" ht="15" customHeight="1" x14ac:dyDescent="0.2">
      <c r="D27" s="16" t="s">
        <v>29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spans="4:14" ht="15" customHeight="1" x14ac:dyDescent="0.2">
      <c r="D28" s="16" t="s">
        <v>30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spans="4:14" ht="15" customHeight="1" x14ac:dyDescent="0.2">
      <c r="D29" s="16" t="s">
        <v>31</v>
      </c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4:14" ht="15" customHeight="1" x14ac:dyDescent="0.2">
      <c r="D30" s="16" t="s">
        <v>32</v>
      </c>
      <c r="E30" s="16"/>
      <c r="F30" s="16"/>
      <c r="G30" s="16"/>
      <c r="H30" s="16"/>
      <c r="I30" s="16"/>
      <c r="J30" s="16"/>
      <c r="K30" s="16"/>
      <c r="L30" s="16"/>
      <c r="M30" s="16"/>
      <c r="N30" s="16"/>
    </row>
    <row r="31" spans="4:14" ht="15" customHeight="1" x14ac:dyDescent="0.2">
      <c r="D31" s="16" t="s">
        <v>33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</row>
    <row r="32" spans="4:14" ht="15" customHeight="1" x14ac:dyDescent="0.2">
      <c r="D32" s="16" t="s">
        <v>34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</row>
    <row r="33" spans="4:14" ht="15" customHeight="1" x14ac:dyDescent="0.2">
      <c r="D33" s="16" t="s">
        <v>35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</row>
    <row r="34" spans="4:14" ht="15" customHeight="1" x14ac:dyDescent="0.2">
      <c r="D34" s="16" t="s">
        <v>36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</row>
    <row r="35" spans="4:14" ht="15" customHeight="1" x14ac:dyDescent="0.2">
      <c r="D35" s="16" t="s">
        <v>37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</row>
    <row r="36" spans="4:14" ht="15" customHeight="1" x14ac:dyDescent="0.2">
      <c r="D36" s="16" t="s">
        <v>38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</row>
    <row r="37" spans="4:14" ht="15" customHeight="1" x14ac:dyDescent="0.2">
      <c r="D37" s="16" t="s">
        <v>39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</row>
    <row r="38" spans="4:14" ht="15" customHeight="1" x14ac:dyDescent="0.2">
      <c r="D38" s="16" t="s">
        <v>40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</row>
    <row r="39" spans="4:14" ht="15" customHeight="1" x14ac:dyDescent="0.2">
      <c r="D39" s="16" t="s">
        <v>41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</row>
    <row r="40" spans="4:14" ht="15" customHeight="1" x14ac:dyDescent="0.2">
      <c r="D40" s="16" t="s">
        <v>42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</row>
    <row r="41" spans="4:14" ht="15" customHeight="1" x14ac:dyDescent="0.2">
      <c r="D41" s="16" t="s">
        <v>43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</row>
    <row r="42" spans="4:14" ht="15" customHeight="1" x14ac:dyDescent="0.2">
      <c r="D42" s="16" t="s">
        <v>44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</row>
    <row r="43" spans="4:14" ht="15" customHeight="1" x14ac:dyDescent="0.2">
      <c r="D43" s="16" t="s">
        <v>45</v>
      </c>
      <c r="E43" s="16"/>
      <c r="F43" s="16"/>
      <c r="G43" s="16"/>
      <c r="H43" s="16"/>
      <c r="I43" s="16"/>
      <c r="J43" s="16"/>
      <c r="K43" s="16"/>
      <c r="L43" s="16"/>
      <c r="M43" s="16"/>
      <c r="N43" s="16"/>
    </row>
    <row r="44" spans="4:14" ht="15" customHeight="1" x14ac:dyDescent="0.2">
      <c r="D44" s="16" t="s">
        <v>46</v>
      </c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4:14" ht="15" customHeight="1" x14ac:dyDescent="0.2">
      <c r="D45" s="16" t="s">
        <v>47</v>
      </c>
      <c r="E45" s="16"/>
      <c r="F45" s="16"/>
      <c r="G45" s="16"/>
      <c r="H45" s="16"/>
      <c r="I45" s="16"/>
      <c r="J45" s="16"/>
      <c r="K45" s="16"/>
      <c r="L45" s="16"/>
      <c r="M45" s="16"/>
      <c r="N45" s="16"/>
    </row>
    <row r="46" spans="4:14" ht="15" customHeight="1" x14ac:dyDescent="0.2">
      <c r="D46" s="16" t="s">
        <v>48</v>
      </c>
      <c r="E46" s="16"/>
      <c r="F46" s="16"/>
      <c r="G46" s="16"/>
      <c r="H46" s="16"/>
      <c r="I46" s="16"/>
      <c r="J46" s="16"/>
      <c r="K46" s="16"/>
      <c r="L46" s="16"/>
      <c r="M46" s="16"/>
      <c r="N46" s="16"/>
    </row>
    <row r="47" spans="4:14" ht="15" customHeight="1" x14ac:dyDescent="0.2">
      <c r="D47" s="16" t="s">
        <v>49</v>
      </c>
      <c r="E47" s="16"/>
      <c r="F47" s="16"/>
      <c r="G47" s="16"/>
      <c r="H47" s="16"/>
      <c r="I47" s="16"/>
      <c r="J47" s="16"/>
      <c r="K47" s="16"/>
      <c r="L47" s="16"/>
      <c r="M47" s="16"/>
      <c r="N47" s="16"/>
    </row>
    <row r="48" spans="4:14" ht="15" customHeight="1" x14ac:dyDescent="0.2">
      <c r="D48" s="16" t="s">
        <v>50</v>
      </c>
      <c r="E48" s="16"/>
      <c r="F48" s="16"/>
      <c r="G48" s="16"/>
      <c r="H48" s="16"/>
      <c r="I48" s="16"/>
      <c r="J48" s="16"/>
      <c r="K48" s="16"/>
      <c r="L48" s="16"/>
      <c r="M48" s="16"/>
      <c r="N48" s="16"/>
    </row>
    <row r="49" spans="4:14" ht="15" customHeight="1" x14ac:dyDescent="0.2">
      <c r="D49" s="16" t="s">
        <v>51</v>
      </c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4:14" ht="15" customHeight="1" x14ac:dyDescent="0.2">
      <c r="D50" s="16" t="s">
        <v>52</v>
      </c>
      <c r="E50" s="16"/>
      <c r="F50" s="16"/>
      <c r="G50" s="16"/>
      <c r="H50" s="16"/>
      <c r="I50" s="16"/>
      <c r="J50" s="16"/>
      <c r="K50" s="16"/>
      <c r="L50" s="16"/>
      <c r="M50" s="16"/>
      <c r="N50" s="16"/>
    </row>
    <row r="51" spans="4:14" ht="15" customHeight="1" x14ac:dyDescent="0.2">
      <c r="D51" s="16" t="s">
        <v>53</v>
      </c>
      <c r="E51" s="16"/>
      <c r="F51" s="16"/>
      <c r="G51" s="16"/>
      <c r="H51" s="16"/>
      <c r="I51" s="16"/>
      <c r="J51" s="16"/>
      <c r="K51" s="16"/>
      <c r="L51" s="16"/>
      <c r="M51" s="16"/>
      <c r="N51" s="16"/>
    </row>
    <row r="52" spans="4:14" ht="15" customHeight="1" x14ac:dyDescent="0.2">
      <c r="D52" s="16" t="s">
        <v>54</v>
      </c>
      <c r="E52" s="16"/>
      <c r="F52" s="16"/>
      <c r="G52" s="16"/>
      <c r="H52" s="16"/>
      <c r="I52" s="16"/>
      <c r="J52" s="16"/>
      <c r="K52" s="16"/>
      <c r="L52" s="16"/>
      <c r="M52" s="16"/>
      <c r="N52" s="16"/>
    </row>
    <row r="53" spans="4:14" ht="15" customHeight="1" x14ac:dyDescent="0.2">
      <c r="D53" s="16" t="s">
        <v>55</v>
      </c>
      <c r="E53" s="16"/>
      <c r="F53" s="16"/>
      <c r="G53" s="16"/>
      <c r="H53" s="16"/>
      <c r="I53" s="16"/>
      <c r="J53" s="16"/>
      <c r="K53" s="16"/>
      <c r="L53" s="16"/>
      <c r="M53" s="16"/>
      <c r="N53" s="16"/>
    </row>
    <row r="54" spans="4:14" ht="15" customHeight="1" x14ac:dyDescent="0.2">
      <c r="D54" s="16" t="s">
        <v>56</v>
      </c>
      <c r="E54" s="16"/>
      <c r="F54" s="16"/>
      <c r="G54" s="16"/>
      <c r="H54" s="16"/>
      <c r="I54" s="16"/>
      <c r="J54" s="16"/>
      <c r="K54" s="16"/>
      <c r="L54" s="16"/>
      <c r="M54" s="16"/>
      <c r="N54" s="16"/>
    </row>
    <row r="55" spans="4:14" ht="15" customHeight="1" x14ac:dyDescent="0.2">
      <c r="D55" s="16" t="s">
        <v>57</v>
      </c>
      <c r="E55" s="16"/>
      <c r="F55" s="16"/>
      <c r="G55" s="16"/>
      <c r="H55" s="16"/>
      <c r="I55" s="16"/>
      <c r="J55" s="16"/>
      <c r="K55" s="16"/>
      <c r="L55" s="16"/>
      <c r="M55" s="16"/>
      <c r="N55" s="16"/>
    </row>
    <row r="56" spans="4:14" ht="15" customHeight="1" x14ac:dyDescent="0.2">
      <c r="D56" s="16" t="s">
        <v>58</v>
      </c>
      <c r="E56" s="16"/>
      <c r="F56" s="16"/>
      <c r="G56" s="16"/>
      <c r="H56" s="16"/>
      <c r="I56" s="16"/>
      <c r="J56" s="16"/>
      <c r="K56" s="16"/>
      <c r="L56" s="16"/>
      <c r="M56" s="16"/>
      <c r="N56" s="16"/>
    </row>
    <row r="57" spans="4:14" ht="15" customHeight="1" x14ac:dyDescent="0.2">
      <c r="D57" s="16" t="s">
        <v>59</v>
      </c>
      <c r="E57" s="16"/>
      <c r="F57" s="16"/>
      <c r="G57" s="16"/>
      <c r="H57" s="16"/>
      <c r="I57" s="16"/>
      <c r="J57" s="16"/>
      <c r="K57" s="16"/>
      <c r="L57" s="16"/>
      <c r="M57" s="16"/>
      <c r="N57" s="16"/>
    </row>
    <row r="58" spans="4:14" ht="15" customHeight="1" x14ac:dyDescent="0.2">
      <c r="D58" s="16" t="s">
        <v>60</v>
      </c>
      <c r="E58" s="16"/>
      <c r="F58" s="16"/>
      <c r="G58" s="16"/>
      <c r="H58" s="16"/>
      <c r="I58" s="16"/>
      <c r="J58" s="16"/>
      <c r="K58" s="16"/>
      <c r="L58" s="16"/>
      <c r="M58" s="16"/>
      <c r="N58" s="16"/>
    </row>
    <row r="59" spans="4:14" ht="15" customHeight="1" x14ac:dyDescent="0.2">
      <c r="D59" s="16" t="s">
        <v>61</v>
      </c>
      <c r="E59" s="16"/>
      <c r="F59" s="16"/>
      <c r="G59" s="16"/>
      <c r="H59" s="16"/>
      <c r="I59" s="16"/>
      <c r="J59" s="16"/>
      <c r="K59" s="16"/>
      <c r="L59" s="16"/>
      <c r="M59" s="16"/>
      <c r="N59" s="16"/>
    </row>
    <row r="60" spans="4:14" ht="15" customHeight="1" x14ac:dyDescent="0.2">
      <c r="D60" s="16" t="s">
        <v>62</v>
      </c>
      <c r="E60" s="16"/>
      <c r="F60" s="16"/>
      <c r="G60" s="16"/>
      <c r="H60" s="16"/>
      <c r="I60" s="16"/>
      <c r="J60" s="16"/>
      <c r="K60" s="16"/>
      <c r="L60" s="16"/>
      <c r="M60" s="16"/>
      <c r="N60" s="16"/>
    </row>
    <row r="61" spans="4:14" ht="15" customHeight="1" x14ac:dyDescent="0.2">
      <c r="D61" s="16" t="s">
        <v>63</v>
      </c>
      <c r="E61" s="16"/>
      <c r="F61" s="16"/>
      <c r="G61" s="16"/>
      <c r="H61" s="16"/>
      <c r="I61" s="16"/>
      <c r="J61" s="16"/>
      <c r="K61" s="16"/>
      <c r="L61" s="16"/>
      <c r="M61" s="16"/>
      <c r="N61" s="16"/>
    </row>
    <row r="62" spans="4:14" ht="15" customHeight="1" x14ac:dyDescent="0.2">
      <c r="D62" s="16" t="s">
        <v>64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</row>
    <row r="63" spans="4:14" ht="15" customHeight="1" x14ac:dyDescent="0.2">
      <c r="D63" s="16" t="s">
        <v>65</v>
      </c>
      <c r="E63" s="16"/>
      <c r="F63" s="16"/>
      <c r="G63" s="16"/>
      <c r="H63" s="16"/>
      <c r="I63" s="16"/>
      <c r="J63" s="16"/>
      <c r="K63" s="16"/>
      <c r="L63" s="16"/>
      <c r="M63" s="16"/>
      <c r="N63" s="16"/>
    </row>
    <row r="64" spans="4:14" ht="15" customHeight="1" x14ac:dyDescent="0.2">
      <c r="D64" s="16" t="s">
        <v>66</v>
      </c>
      <c r="E64" s="16"/>
      <c r="F64" s="16"/>
      <c r="G64" s="16"/>
      <c r="H64" s="16"/>
      <c r="I64" s="16"/>
      <c r="J64" s="16"/>
      <c r="K64" s="16"/>
      <c r="L64" s="16"/>
      <c r="M64" s="16"/>
      <c r="N64" s="16"/>
    </row>
    <row r="65" spans="1:14" ht="15" customHeight="1" x14ac:dyDescent="0.2">
      <c r="D65" s="16" t="s">
        <v>67</v>
      </c>
      <c r="E65" s="16"/>
      <c r="F65" s="16"/>
      <c r="G65" s="16"/>
      <c r="H65" s="16"/>
      <c r="I65" s="16"/>
      <c r="J65" s="16"/>
      <c r="K65" s="16"/>
      <c r="L65" s="16"/>
      <c r="M65" s="16"/>
      <c r="N65" s="16"/>
    </row>
    <row r="66" spans="1:14" ht="15" customHeight="1" x14ac:dyDescent="0.2">
      <c r="D66" s="16" t="s">
        <v>68</v>
      </c>
      <c r="E66" s="16"/>
      <c r="F66" s="16"/>
      <c r="G66" s="16"/>
      <c r="H66" s="16"/>
      <c r="I66" s="16"/>
      <c r="J66" s="16"/>
      <c r="K66" s="16"/>
      <c r="L66" s="16"/>
      <c r="M66" s="16"/>
      <c r="N66" s="16"/>
    </row>
    <row r="67" spans="1:14" ht="15" customHeight="1" x14ac:dyDescent="0.2">
      <c r="D67" s="16" t="s">
        <v>69</v>
      </c>
      <c r="E67" s="16"/>
      <c r="F67" s="16"/>
      <c r="G67" s="16"/>
      <c r="H67" s="16"/>
      <c r="I67" s="16"/>
      <c r="J67" s="16"/>
      <c r="K67" s="16"/>
      <c r="L67" s="16"/>
      <c r="M67" s="16"/>
      <c r="N67" s="16"/>
    </row>
    <row r="68" spans="1:14" ht="15" customHeight="1" x14ac:dyDescent="0.2">
      <c r="D68" s="16" t="s">
        <v>70</v>
      </c>
      <c r="E68" s="16"/>
      <c r="F68" s="16"/>
      <c r="G68" s="16"/>
      <c r="H68" s="16"/>
      <c r="I68" s="16"/>
      <c r="J68" s="16"/>
      <c r="K68" s="16"/>
      <c r="L68" s="16"/>
      <c r="M68" s="16"/>
      <c r="N68" s="16"/>
    </row>
    <row r="69" spans="1:14" ht="15" customHeight="1" x14ac:dyDescent="0.2">
      <c r="D69" s="16" t="s">
        <v>71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</row>
    <row r="70" spans="1:14" ht="15" customHeight="1" x14ac:dyDescent="0.2">
      <c r="D70" s="16" t="s">
        <v>72</v>
      </c>
      <c r="E70" s="16"/>
      <c r="F70" s="16"/>
      <c r="G70" s="16"/>
      <c r="H70" s="16"/>
      <c r="I70" s="16"/>
      <c r="J70" s="16"/>
      <c r="K70" s="16"/>
      <c r="L70" s="16"/>
      <c r="M70" s="16"/>
      <c r="N70" s="16"/>
    </row>
    <row r="71" spans="1:14" ht="15" customHeight="1" x14ac:dyDescent="0.2">
      <c r="D71" s="16" t="s">
        <v>73</v>
      </c>
      <c r="E71" s="16"/>
      <c r="F71" s="16"/>
      <c r="G71" s="16"/>
      <c r="H71" s="16"/>
      <c r="I71" s="16"/>
      <c r="J71" s="16"/>
      <c r="K71" s="16"/>
      <c r="L71" s="16"/>
      <c r="M71" s="16"/>
      <c r="N71" s="16"/>
    </row>
    <row r="72" spans="1:14" ht="15" customHeight="1" x14ac:dyDescent="0.2">
      <c r="D72" s="16" t="s">
        <v>74</v>
      </c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ht="15" customHeight="1" x14ac:dyDescent="0.2">
      <c r="D73" s="16" t="s">
        <v>75</v>
      </c>
      <c r="E73" s="16"/>
      <c r="F73" s="16"/>
      <c r="G73" s="16"/>
      <c r="H73" s="16"/>
      <c r="I73" s="16"/>
      <c r="J73" s="16"/>
      <c r="K73" s="16"/>
      <c r="L73" s="16"/>
      <c r="M73" s="16"/>
      <c r="N73" s="16"/>
    </row>
    <row r="74" spans="1:14" ht="15" customHeight="1" x14ac:dyDescent="0.2">
      <c r="D74" s="16" t="s">
        <v>76</v>
      </c>
      <c r="E74" s="16"/>
      <c r="F74" s="16"/>
      <c r="G74" s="16"/>
      <c r="H74" s="16"/>
      <c r="I74" s="16"/>
      <c r="J74" s="16"/>
      <c r="K74" s="16"/>
      <c r="L74" s="16"/>
      <c r="M74" s="16"/>
      <c r="N74" s="16"/>
    </row>
    <row r="75" spans="1:14" ht="15" customHeight="1" x14ac:dyDescent="0.2">
      <c r="D75" s="16" t="s">
        <v>77</v>
      </c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spans="1:14" ht="15" customHeight="1" x14ac:dyDescent="0.2">
      <c r="D76" s="16" t="s">
        <v>78</v>
      </c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 ht="15" customHeight="1" x14ac:dyDescent="0.2">
      <c r="D77" s="16" t="s">
        <v>79</v>
      </c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spans="1:14" ht="15" customHeight="1" x14ac:dyDescent="0.2">
      <c r="D78" s="16" t="s">
        <v>80</v>
      </c>
      <c r="E78" s="16"/>
      <c r="F78" s="16"/>
      <c r="G78" s="16"/>
      <c r="H78" s="16"/>
      <c r="I78" s="16"/>
      <c r="J78" s="16"/>
      <c r="K78" s="16"/>
      <c r="L78" s="16"/>
      <c r="M78" s="16"/>
      <c r="N78" s="16"/>
    </row>
    <row r="79" spans="1:14" ht="15" customHeight="1" x14ac:dyDescent="0.2">
      <c r="A79" s="14" t="s">
        <v>81</v>
      </c>
      <c r="B79" s="14"/>
      <c r="C79" s="14"/>
      <c r="D79" s="16" t="s">
        <v>82</v>
      </c>
      <c r="E79" s="16"/>
      <c r="F79" s="16"/>
      <c r="G79" s="16"/>
      <c r="H79" s="16"/>
      <c r="I79" s="16"/>
      <c r="J79" s="16"/>
      <c r="K79" s="16"/>
      <c r="L79" s="16"/>
      <c r="M79" s="16"/>
      <c r="N79" s="16"/>
    </row>
    <row r="80" spans="1:14" ht="15" customHeight="1" x14ac:dyDescent="0.2">
      <c r="A80" s="14" t="s">
        <v>83</v>
      </c>
      <c r="B80" s="14"/>
      <c r="C80" s="14"/>
      <c r="D80" s="16" t="s">
        <v>84</v>
      </c>
      <c r="E80" s="16"/>
      <c r="F80" s="16"/>
      <c r="G80" s="16"/>
      <c r="H80" s="16"/>
      <c r="I80" s="16"/>
      <c r="J80" s="16"/>
      <c r="K80" s="16"/>
      <c r="L80" s="16"/>
      <c r="M80" s="16"/>
      <c r="N80" s="16"/>
    </row>
    <row r="81" spans="1:17" ht="15" customHeight="1" x14ac:dyDescent="0.2">
      <c r="A81" s="14" t="s">
        <v>85</v>
      </c>
      <c r="B81" s="14"/>
      <c r="C81" s="14"/>
      <c r="D81" s="17">
        <v>300</v>
      </c>
      <c r="E81" s="17"/>
      <c r="F81" s="17"/>
      <c r="G81" s="17"/>
      <c r="H81" s="17"/>
      <c r="I81" s="17"/>
      <c r="J81" s="17"/>
      <c r="K81" s="17"/>
      <c r="L81" s="17"/>
      <c r="M81" s="17"/>
      <c r="N81" s="17"/>
    </row>
    <row r="82" spans="1:17" ht="15" customHeight="1" x14ac:dyDescent="0.2">
      <c r="A82" s="14" t="s">
        <v>86</v>
      </c>
      <c r="B82" s="14"/>
      <c r="C82" s="14"/>
      <c r="D82" s="16" t="s">
        <v>87</v>
      </c>
      <c r="E82" s="16"/>
      <c r="F82" s="16"/>
      <c r="G82" s="16"/>
      <c r="H82" s="16"/>
      <c r="I82" s="16"/>
      <c r="J82" s="16"/>
      <c r="K82" s="16"/>
      <c r="L82" s="16"/>
      <c r="M82" s="16"/>
      <c r="N82" s="16"/>
    </row>
    <row r="83" spans="1:17" ht="24.95" customHeight="1" x14ac:dyDescent="0.2">
      <c r="A83" s="13" t="s">
        <v>88</v>
      </c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</row>
    <row r="84" spans="1:17" ht="15" customHeight="1" x14ac:dyDescent="0.2">
      <c r="A84" s="14" t="s">
        <v>89</v>
      </c>
      <c r="B84" s="14"/>
      <c r="C84" s="14"/>
      <c r="D84" s="18" t="s">
        <v>90</v>
      </c>
      <c r="P84" s="9" t="s">
        <v>255</v>
      </c>
      <c r="Q84" s="10">
        <f>MAX($K$188:$K$243)</f>
        <v>39.06</v>
      </c>
    </row>
    <row r="85" spans="1:17" ht="15" customHeight="1" x14ac:dyDescent="0.2">
      <c r="A85" s="14" t="s">
        <v>91</v>
      </c>
      <c r="B85" s="14"/>
      <c r="C85" s="14"/>
      <c r="D85" s="19">
        <v>52264</v>
      </c>
      <c r="E85" s="14" t="s">
        <v>92</v>
      </c>
      <c r="F85" s="14"/>
      <c r="G85" s="14"/>
      <c r="H85" s="19">
        <v>44100761</v>
      </c>
      <c r="I85" s="14" t="s">
        <v>93</v>
      </c>
      <c r="J85" s="14"/>
      <c r="K85" s="14"/>
      <c r="L85" s="19">
        <v>1</v>
      </c>
      <c r="M85" s="19"/>
      <c r="N85" s="19"/>
      <c r="P85" s="9" t="s">
        <v>256</v>
      </c>
      <c r="Q85" s="10">
        <f>MIN($K$188:$K$243)</f>
        <v>-17.28</v>
      </c>
    </row>
    <row r="86" spans="1:17" ht="15" customHeight="1" x14ac:dyDescent="0.2">
      <c r="A86" s="20" t="s">
        <v>94</v>
      </c>
      <c r="B86" s="20"/>
      <c r="C86" s="20"/>
      <c r="D86" s="21">
        <v>94.84</v>
      </c>
      <c r="E86" s="14" t="s">
        <v>95</v>
      </c>
      <c r="F86" s="14"/>
      <c r="G86" s="14"/>
      <c r="H86" s="22">
        <v>40.49</v>
      </c>
      <c r="I86" s="14" t="s">
        <v>96</v>
      </c>
      <c r="J86" s="14"/>
      <c r="K86" s="14"/>
      <c r="L86" s="22">
        <v>40.799999999999997</v>
      </c>
      <c r="M86" s="22"/>
      <c r="N86" s="22"/>
      <c r="P86" s="9" t="s">
        <v>257</v>
      </c>
      <c r="Q86" s="10">
        <f>AVERAGE($K$188:$K$243)</f>
        <v>1.8139285714285711</v>
      </c>
    </row>
    <row r="87" spans="1:17" ht="15" customHeight="1" x14ac:dyDescent="0.2">
      <c r="A87" s="14" t="s">
        <v>97</v>
      </c>
      <c r="B87" s="14"/>
      <c r="C87" s="14"/>
      <c r="D87" s="22">
        <v>253.5</v>
      </c>
      <c r="E87" s="14" t="s">
        <v>98</v>
      </c>
      <c r="F87" s="14"/>
      <c r="G87" s="14"/>
      <c r="H87" s="18" t="s">
        <v>99</v>
      </c>
      <c r="I87" s="20" t="s">
        <v>100</v>
      </c>
      <c r="J87" s="20"/>
      <c r="K87" s="20"/>
      <c r="L87" s="23" t="s">
        <v>101</v>
      </c>
      <c r="M87" s="23"/>
      <c r="N87" s="23"/>
    </row>
    <row r="88" spans="1:17" ht="15" customHeight="1" x14ac:dyDescent="0.2">
      <c r="A88" s="14" t="s">
        <v>102</v>
      </c>
      <c r="B88" s="14"/>
      <c r="C88" s="14"/>
      <c r="D88" s="22">
        <v>-158.66</v>
      </c>
      <c r="E88" s="14" t="s">
        <v>103</v>
      </c>
      <c r="F88" s="14"/>
      <c r="G88" s="14"/>
      <c r="H88" s="18" t="s">
        <v>104</v>
      </c>
      <c r="I88" s="20" t="s">
        <v>105</v>
      </c>
      <c r="J88" s="20"/>
      <c r="K88" s="20"/>
      <c r="L88" s="23" t="s">
        <v>106</v>
      </c>
      <c r="M88" s="23"/>
      <c r="N88" s="23"/>
    </row>
    <row r="90" spans="1:17" ht="15" customHeight="1" x14ac:dyDescent="0.2">
      <c r="A90" s="20" t="s">
        <v>107</v>
      </c>
      <c r="B90" s="20"/>
      <c r="C90" s="20"/>
      <c r="D90" s="21">
        <v>1.597756</v>
      </c>
      <c r="E90" s="20" t="s">
        <v>108</v>
      </c>
      <c r="F90" s="20"/>
      <c r="G90" s="20"/>
      <c r="H90" s="21">
        <v>3.387143</v>
      </c>
      <c r="I90" s="14" t="s">
        <v>109</v>
      </c>
      <c r="J90" s="14"/>
      <c r="K90" s="14"/>
      <c r="L90" s="18" t="s">
        <v>110</v>
      </c>
      <c r="M90" s="18"/>
      <c r="N90" s="18"/>
    </row>
    <row r="91" spans="1:17" ht="15" customHeight="1" x14ac:dyDescent="0.2">
      <c r="A91" s="20" t="s">
        <v>111</v>
      </c>
      <c r="B91" s="20"/>
      <c r="C91" s="20"/>
      <c r="D91" s="21">
        <v>1.1056189999999999</v>
      </c>
      <c r="E91" s="20" t="s">
        <v>112</v>
      </c>
      <c r="F91" s="20"/>
      <c r="G91" s="20"/>
      <c r="H91" s="21">
        <v>3.8711440000000001</v>
      </c>
      <c r="I91" s="14" t="s">
        <v>113</v>
      </c>
      <c r="J91" s="14"/>
      <c r="K91" s="14"/>
      <c r="L91" s="18" t="s">
        <v>114</v>
      </c>
      <c r="M91" s="18"/>
      <c r="N91" s="18"/>
    </row>
    <row r="92" spans="1:17" ht="15" customHeight="1" x14ac:dyDescent="0.2">
      <c r="A92" s="14" t="s">
        <v>115</v>
      </c>
      <c r="B92" s="14"/>
      <c r="C92" s="14"/>
      <c r="D92" s="18" t="s">
        <v>116</v>
      </c>
      <c r="E92" s="14" t="s">
        <v>117</v>
      </c>
      <c r="F92" s="14"/>
      <c r="G92" s="14"/>
      <c r="H92" s="22">
        <v>0.56263099999999999</v>
      </c>
      <c r="I92" s="14" t="s">
        <v>118</v>
      </c>
      <c r="J92" s="14"/>
      <c r="K92" s="14"/>
      <c r="L92" s="18" t="s">
        <v>119</v>
      </c>
      <c r="M92" s="18"/>
      <c r="N92" s="18"/>
    </row>
    <row r="93" spans="1:17" ht="15" customHeight="1" x14ac:dyDescent="0.2">
      <c r="A93" s="14" t="s">
        <v>120</v>
      </c>
      <c r="B93" s="14"/>
      <c r="C93" s="14"/>
      <c r="D93" s="18" t="s">
        <v>121</v>
      </c>
      <c r="E93" s="14" t="s">
        <v>122</v>
      </c>
      <c r="F93" s="14"/>
      <c r="G93" s="14"/>
      <c r="H93" s="22">
        <v>32.826532</v>
      </c>
    </row>
    <row r="95" spans="1:17" ht="15" customHeight="1" x14ac:dyDescent="0.2">
      <c r="A95" s="14" t="s">
        <v>123</v>
      </c>
      <c r="B95" s="14"/>
      <c r="C95" s="14"/>
      <c r="D95" s="22">
        <v>0.813496</v>
      </c>
      <c r="E95" s="14" t="s">
        <v>124</v>
      </c>
      <c r="F95" s="14"/>
      <c r="G95" s="14"/>
      <c r="H95" s="22">
        <v>0.15874199999999999</v>
      </c>
      <c r="I95" s="14" t="s">
        <v>125</v>
      </c>
      <c r="J95" s="14"/>
      <c r="K95" s="14"/>
      <c r="L95" s="22">
        <v>-0.177949</v>
      </c>
      <c r="M95" s="22"/>
      <c r="N95" s="22"/>
    </row>
    <row r="96" spans="1:17" ht="15" customHeight="1" x14ac:dyDescent="0.2">
      <c r="A96" s="14" t="s">
        <v>126</v>
      </c>
      <c r="B96" s="14"/>
      <c r="C96" s="14"/>
      <c r="D96" s="18" t="s">
        <v>127</v>
      </c>
      <c r="E96" s="14" t="s">
        <v>128</v>
      </c>
      <c r="F96" s="14"/>
      <c r="G96" s="14"/>
      <c r="H96" s="18" t="s">
        <v>129</v>
      </c>
      <c r="I96" s="20" t="s">
        <v>130</v>
      </c>
      <c r="J96" s="20"/>
      <c r="K96" s="20"/>
      <c r="L96" s="23" t="s">
        <v>131</v>
      </c>
      <c r="M96" s="23"/>
      <c r="N96" s="23"/>
    </row>
    <row r="98" spans="1:14" ht="15" customHeight="1" x14ac:dyDescent="0.2">
      <c r="A98" s="20" t="s">
        <v>132</v>
      </c>
      <c r="B98" s="20"/>
      <c r="C98" s="20"/>
      <c r="D98" s="24">
        <v>28</v>
      </c>
      <c r="E98" s="14" t="s">
        <v>133</v>
      </c>
      <c r="F98" s="14"/>
      <c r="G98" s="14"/>
      <c r="H98" s="18" t="s">
        <v>134</v>
      </c>
      <c r="I98" s="14" t="s">
        <v>135</v>
      </c>
      <c r="J98" s="14"/>
      <c r="K98" s="14"/>
      <c r="L98" s="18" t="s">
        <v>136</v>
      </c>
      <c r="M98" s="18"/>
      <c r="N98" s="18"/>
    </row>
    <row r="99" spans="1:14" ht="15" customHeight="1" x14ac:dyDescent="0.2">
      <c r="A99" s="14" t="s">
        <v>137</v>
      </c>
      <c r="B99" s="14"/>
      <c r="C99" s="14"/>
      <c r="D99" s="19">
        <v>56</v>
      </c>
      <c r="E99" s="20" t="s">
        <v>138</v>
      </c>
      <c r="F99" s="20"/>
      <c r="G99" s="20"/>
      <c r="H99" s="23" t="s">
        <v>139</v>
      </c>
      <c r="I99" s="14" t="s">
        <v>140</v>
      </c>
      <c r="J99" s="14"/>
      <c r="K99" s="14"/>
      <c r="L99" s="18" t="s">
        <v>141</v>
      </c>
      <c r="M99" s="18"/>
      <c r="N99" s="18"/>
    </row>
    <row r="100" spans="1:14" ht="15" customHeight="1" x14ac:dyDescent="0.2">
      <c r="E100" s="14" t="s">
        <v>142</v>
      </c>
      <c r="F100" s="14"/>
      <c r="G100" s="14"/>
      <c r="H100" s="22">
        <v>38.61</v>
      </c>
      <c r="I100" s="14" t="s">
        <v>143</v>
      </c>
      <c r="J100" s="14"/>
      <c r="K100" s="14"/>
      <c r="L100" s="22">
        <v>-17.73</v>
      </c>
      <c r="M100" s="22"/>
      <c r="N100" s="22"/>
    </row>
    <row r="101" spans="1:14" ht="15" customHeight="1" x14ac:dyDescent="0.2">
      <c r="E101" s="14" t="s">
        <v>144</v>
      </c>
      <c r="F101" s="14"/>
      <c r="G101" s="14"/>
      <c r="H101" s="22">
        <v>21.125</v>
      </c>
      <c r="I101" s="14" t="s">
        <v>145</v>
      </c>
      <c r="J101" s="14"/>
      <c r="K101" s="14"/>
      <c r="L101" s="22">
        <v>-9.9162499999999998</v>
      </c>
      <c r="M101" s="22"/>
      <c r="N101" s="22"/>
    </row>
    <row r="102" spans="1:14" ht="15" customHeight="1" x14ac:dyDescent="0.2">
      <c r="E102" s="14" t="s">
        <v>146</v>
      </c>
      <c r="F102" s="14"/>
      <c r="G102" s="14"/>
      <c r="H102" s="18" t="s">
        <v>147</v>
      </c>
      <c r="I102" s="20" t="s">
        <v>148</v>
      </c>
      <c r="J102" s="20"/>
      <c r="K102" s="20"/>
      <c r="L102" s="23" t="s">
        <v>149</v>
      </c>
      <c r="M102" s="23"/>
      <c r="N102" s="23"/>
    </row>
    <row r="103" spans="1:14" ht="15" customHeight="1" x14ac:dyDescent="0.2">
      <c r="E103" s="14" t="s">
        <v>150</v>
      </c>
      <c r="F103" s="14"/>
      <c r="G103" s="14"/>
      <c r="H103" s="18" t="s">
        <v>151</v>
      </c>
      <c r="I103" s="14" t="s">
        <v>152</v>
      </c>
      <c r="J103" s="14"/>
      <c r="K103" s="14"/>
      <c r="L103" s="18" t="s">
        <v>153</v>
      </c>
      <c r="M103" s="18"/>
      <c r="N103" s="18"/>
    </row>
    <row r="104" spans="1:14" ht="15" customHeight="1" x14ac:dyDescent="0.2">
      <c r="E104" s="14" t="s">
        <v>154</v>
      </c>
      <c r="F104" s="14"/>
      <c r="G104" s="14"/>
      <c r="H104" s="19">
        <v>3</v>
      </c>
      <c r="I104" s="14" t="s">
        <v>155</v>
      </c>
      <c r="J104" s="14"/>
      <c r="K104" s="14"/>
      <c r="L104" s="19">
        <v>4</v>
      </c>
      <c r="M104" s="19"/>
      <c r="N104" s="19"/>
    </row>
    <row r="127" spans="1:14" ht="20.100000000000001" customHeight="1" x14ac:dyDescent="0.2">
      <c r="A127" s="13" t="s">
        <v>156</v>
      </c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</row>
    <row r="128" spans="1:14" ht="20.100000000000001" customHeight="1" x14ac:dyDescent="0.2">
      <c r="A128" s="2" t="s">
        <v>157</v>
      </c>
      <c r="B128" s="2" t="s">
        <v>158</v>
      </c>
      <c r="C128" s="2" t="s">
        <v>159</v>
      </c>
      <c r="D128" s="2" t="s">
        <v>160</v>
      </c>
      <c r="E128" s="25" t="s">
        <v>161</v>
      </c>
      <c r="F128" s="25"/>
      <c r="G128" s="2" t="s">
        <v>162</v>
      </c>
      <c r="H128" s="2" t="s">
        <v>163</v>
      </c>
      <c r="I128" s="2" t="s">
        <v>164</v>
      </c>
      <c r="J128" s="25" t="s">
        <v>165</v>
      </c>
      <c r="K128" s="25"/>
      <c r="L128" s="2" t="s">
        <v>166</v>
      </c>
      <c r="M128" s="25" t="s">
        <v>167</v>
      </c>
      <c r="N128" s="25"/>
    </row>
    <row r="129" spans="1:14" ht="15" customHeight="1" x14ac:dyDescent="0.2">
      <c r="A129" s="3" t="s">
        <v>168</v>
      </c>
      <c r="B129" s="4">
        <v>2</v>
      </c>
      <c r="C129" s="3" t="s">
        <v>5</v>
      </c>
      <c r="D129" s="3" t="s">
        <v>169</v>
      </c>
      <c r="E129" s="26" t="s">
        <v>170</v>
      </c>
      <c r="F129" s="26"/>
      <c r="G129" s="5">
        <v>0</v>
      </c>
      <c r="H129" s="3"/>
      <c r="I129" s="3"/>
      <c r="J129" s="26" t="s">
        <v>168</v>
      </c>
      <c r="K129" s="26"/>
      <c r="L129" s="3" t="s">
        <v>171</v>
      </c>
      <c r="M129" s="26" t="s">
        <v>172</v>
      </c>
      <c r="N129" s="26"/>
    </row>
    <row r="130" spans="1:14" ht="15" customHeight="1" x14ac:dyDescent="0.2">
      <c r="A130" s="1" t="s">
        <v>173</v>
      </c>
      <c r="B130" s="6">
        <v>3</v>
      </c>
      <c r="C130" s="1" t="s">
        <v>5</v>
      </c>
      <c r="D130" s="1" t="s">
        <v>174</v>
      </c>
      <c r="E130" s="14" t="s">
        <v>170</v>
      </c>
      <c r="F130" s="14"/>
      <c r="G130" s="7">
        <v>0</v>
      </c>
      <c r="H130" s="1"/>
      <c r="I130" s="1"/>
      <c r="J130" s="14" t="s">
        <v>173</v>
      </c>
      <c r="K130" s="14"/>
      <c r="L130" s="1" t="s">
        <v>171</v>
      </c>
      <c r="M130" s="14"/>
      <c r="N130" s="14"/>
    </row>
    <row r="131" spans="1:14" ht="15" customHeight="1" x14ac:dyDescent="0.2">
      <c r="A131" s="3" t="s">
        <v>175</v>
      </c>
      <c r="B131" s="4">
        <v>4</v>
      </c>
      <c r="C131" s="3" t="s">
        <v>5</v>
      </c>
      <c r="D131" s="3" t="s">
        <v>169</v>
      </c>
      <c r="E131" s="26" t="s">
        <v>170</v>
      </c>
      <c r="F131" s="26"/>
      <c r="G131" s="5">
        <v>0</v>
      </c>
      <c r="H131" s="3"/>
      <c r="I131" s="3"/>
      <c r="J131" s="26" t="s">
        <v>175</v>
      </c>
      <c r="K131" s="26"/>
      <c r="L131" s="3" t="s">
        <v>171</v>
      </c>
      <c r="M131" s="26" t="s">
        <v>172</v>
      </c>
      <c r="N131" s="26"/>
    </row>
    <row r="132" spans="1:14" ht="15" customHeight="1" x14ac:dyDescent="0.2">
      <c r="A132" s="1" t="s">
        <v>176</v>
      </c>
      <c r="B132" s="6">
        <v>5</v>
      </c>
      <c r="C132" s="1" t="s">
        <v>5</v>
      </c>
      <c r="D132" s="1" t="s">
        <v>169</v>
      </c>
      <c r="E132" s="14" t="s">
        <v>170</v>
      </c>
      <c r="F132" s="14"/>
      <c r="G132" s="7">
        <v>0</v>
      </c>
      <c r="H132" s="1"/>
      <c r="I132" s="1"/>
      <c r="J132" s="14" t="s">
        <v>176</v>
      </c>
      <c r="K132" s="14"/>
      <c r="L132" s="1" t="s">
        <v>171</v>
      </c>
      <c r="M132" s="14" t="s">
        <v>177</v>
      </c>
      <c r="N132" s="14"/>
    </row>
    <row r="133" spans="1:14" ht="15" customHeight="1" x14ac:dyDescent="0.2">
      <c r="A133" s="3" t="s">
        <v>178</v>
      </c>
      <c r="B133" s="4">
        <v>6</v>
      </c>
      <c r="C133" s="3" t="s">
        <v>5</v>
      </c>
      <c r="D133" s="3" t="s">
        <v>174</v>
      </c>
      <c r="E133" s="26" t="s">
        <v>170</v>
      </c>
      <c r="F133" s="26"/>
      <c r="G133" s="5">
        <v>0</v>
      </c>
      <c r="H133" s="3"/>
      <c r="I133" s="3"/>
      <c r="J133" s="26" t="s">
        <v>178</v>
      </c>
      <c r="K133" s="26"/>
      <c r="L133" s="3" t="s">
        <v>171</v>
      </c>
      <c r="M133" s="26"/>
      <c r="N133" s="26"/>
    </row>
    <row r="134" spans="1:14" ht="15" customHeight="1" x14ac:dyDescent="0.2">
      <c r="A134" s="1" t="s">
        <v>178</v>
      </c>
      <c r="B134" s="6">
        <v>7</v>
      </c>
      <c r="C134" s="1" t="s">
        <v>5</v>
      </c>
      <c r="D134" s="1" t="s">
        <v>174</v>
      </c>
      <c r="E134" s="14" t="s">
        <v>170</v>
      </c>
      <c r="F134" s="14"/>
      <c r="G134" s="7">
        <v>0</v>
      </c>
      <c r="H134" s="1"/>
      <c r="I134" s="1"/>
      <c r="J134" s="14" t="s">
        <v>178</v>
      </c>
      <c r="K134" s="14"/>
      <c r="L134" s="1" t="s">
        <v>171</v>
      </c>
      <c r="M134" s="14"/>
      <c r="N134" s="14"/>
    </row>
    <row r="135" spans="1:14" ht="15" customHeight="1" x14ac:dyDescent="0.2">
      <c r="A135" s="3" t="s">
        <v>179</v>
      </c>
      <c r="B135" s="4">
        <v>8</v>
      </c>
      <c r="C135" s="3" t="s">
        <v>5</v>
      </c>
      <c r="D135" s="3" t="s">
        <v>169</v>
      </c>
      <c r="E135" s="26" t="s">
        <v>170</v>
      </c>
      <c r="F135" s="26"/>
      <c r="G135" s="5">
        <v>0</v>
      </c>
      <c r="H135" s="3"/>
      <c r="I135" s="3"/>
      <c r="J135" s="26" t="s">
        <v>179</v>
      </c>
      <c r="K135" s="26"/>
      <c r="L135" s="3" t="s">
        <v>171</v>
      </c>
      <c r="M135" s="26" t="s">
        <v>172</v>
      </c>
      <c r="N135" s="26"/>
    </row>
    <row r="136" spans="1:14" ht="15" customHeight="1" x14ac:dyDescent="0.2">
      <c r="A136" s="1" t="s">
        <v>180</v>
      </c>
      <c r="B136" s="6">
        <v>9</v>
      </c>
      <c r="C136" s="1" t="s">
        <v>5</v>
      </c>
      <c r="D136" s="1" t="s">
        <v>174</v>
      </c>
      <c r="E136" s="14" t="s">
        <v>170</v>
      </c>
      <c r="F136" s="14"/>
      <c r="G136" s="7">
        <v>0</v>
      </c>
      <c r="H136" s="1"/>
      <c r="I136" s="1"/>
      <c r="J136" s="14" t="s">
        <v>180</v>
      </c>
      <c r="K136" s="14"/>
      <c r="L136" s="1" t="s">
        <v>171</v>
      </c>
      <c r="M136" s="14" t="s">
        <v>181</v>
      </c>
      <c r="N136" s="14"/>
    </row>
    <row r="137" spans="1:14" ht="15" customHeight="1" x14ac:dyDescent="0.2">
      <c r="A137" s="3" t="s">
        <v>182</v>
      </c>
      <c r="B137" s="4">
        <v>10</v>
      </c>
      <c r="C137" s="3" t="s">
        <v>5</v>
      </c>
      <c r="D137" s="3" t="s">
        <v>169</v>
      </c>
      <c r="E137" s="26" t="s">
        <v>170</v>
      </c>
      <c r="F137" s="26"/>
      <c r="G137" s="5">
        <v>0</v>
      </c>
      <c r="H137" s="3"/>
      <c r="I137" s="3"/>
      <c r="J137" s="26" t="s">
        <v>182</v>
      </c>
      <c r="K137" s="26"/>
      <c r="L137" s="3" t="s">
        <v>171</v>
      </c>
      <c r="M137" s="26" t="s">
        <v>172</v>
      </c>
      <c r="N137" s="26"/>
    </row>
    <row r="138" spans="1:14" ht="15" customHeight="1" x14ac:dyDescent="0.2">
      <c r="A138" s="1" t="s">
        <v>183</v>
      </c>
      <c r="B138" s="6">
        <v>11</v>
      </c>
      <c r="C138" s="1" t="s">
        <v>5</v>
      </c>
      <c r="D138" s="1" t="s">
        <v>174</v>
      </c>
      <c r="E138" s="14" t="s">
        <v>170</v>
      </c>
      <c r="F138" s="14"/>
      <c r="G138" s="7">
        <v>0</v>
      </c>
      <c r="H138" s="1"/>
      <c r="I138" s="1"/>
      <c r="J138" s="14" t="s">
        <v>183</v>
      </c>
      <c r="K138" s="14"/>
      <c r="L138" s="1" t="s">
        <v>171</v>
      </c>
      <c r="M138" s="14"/>
      <c r="N138" s="14"/>
    </row>
    <row r="139" spans="1:14" ht="15" customHeight="1" x14ac:dyDescent="0.2">
      <c r="A139" s="3" t="s">
        <v>184</v>
      </c>
      <c r="B139" s="4">
        <v>12</v>
      </c>
      <c r="C139" s="3" t="s">
        <v>5</v>
      </c>
      <c r="D139" s="3" t="s">
        <v>169</v>
      </c>
      <c r="E139" s="26" t="s">
        <v>170</v>
      </c>
      <c r="F139" s="26"/>
      <c r="G139" s="5">
        <v>0</v>
      </c>
      <c r="H139" s="3"/>
      <c r="I139" s="3"/>
      <c r="J139" s="26" t="s">
        <v>184</v>
      </c>
      <c r="K139" s="26"/>
      <c r="L139" s="3" t="s">
        <v>171</v>
      </c>
      <c r="M139" s="26" t="s">
        <v>172</v>
      </c>
      <c r="N139" s="26"/>
    </row>
    <row r="140" spans="1:14" ht="15" customHeight="1" x14ac:dyDescent="0.2">
      <c r="A140" s="1" t="s">
        <v>185</v>
      </c>
      <c r="B140" s="6">
        <v>13</v>
      </c>
      <c r="C140" s="1" t="s">
        <v>5</v>
      </c>
      <c r="D140" s="1" t="s">
        <v>174</v>
      </c>
      <c r="E140" s="14" t="s">
        <v>170</v>
      </c>
      <c r="F140" s="14"/>
      <c r="G140" s="7">
        <v>0</v>
      </c>
      <c r="H140" s="1"/>
      <c r="I140" s="1"/>
      <c r="J140" s="14" t="s">
        <v>185</v>
      </c>
      <c r="K140" s="14"/>
      <c r="L140" s="1" t="s">
        <v>171</v>
      </c>
      <c r="M140" s="14" t="s">
        <v>186</v>
      </c>
      <c r="N140" s="14"/>
    </row>
    <row r="141" spans="1:14" ht="15" customHeight="1" x14ac:dyDescent="0.2">
      <c r="A141" s="3" t="s">
        <v>187</v>
      </c>
      <c r="B141" s="4">
        <v>14</v>
      </c>
      <c r="C141" s="3" t="s">
        <v>5</v>
      </c>
      <c r="D141" s="3" t="s">
        <v>169</v>
      </c>
      <c r="E141" s="26" t="s">
        <v>170</v>
      </c>
      <c r="F141" s="26"/>
      <c r="G141" s="5">
        <v>0</v>
      </c>
      <c r="H141" s="3"/>
      <c r="I141" s="3"/>
      <c r="J141" s="26" t="s">
        <v>187</v>
      </c>
      <c r="K141" s="26"/>
      <c r="L141" s="3" t="s">
        <v>171</v>
      </c>
      <c r="M141" s="26" t="s">
        <v>172</v>
      </c>
      <c r="N141" s="26"/>
    </row>
    <row r="142" spans="1:14" ht="15" customHeight="1" x14ac:dyDescent="0.2">
      <c r="A142" s="1" t="s">
        <v>188</v>
      </c>
      <c r="B142" s="6">
        <v>15</v>
      </c>
      <c r="C142" s="1" t="s">
        <v>5</v>
      </c>
      <c r="D142" s="1" t="s">
        <v>174</v>
      </c>
      <c r="E142" s="14" t="s">
        <v>170</v>
      </c>
      <c r="F142" s="14"/>
      <c r="G142" s="7">
        <v>0</v>
      </c>
      <c r="H142" s="1"/>
      <c r="I142" s="1"/>
      <c r="J142" s="14" t="s">
        <v>188</v>
      </c>
      <c r="K142" s="14"/>
      <c r="L142" s="1" t="s">
        <v>171</v>
      </c>
      <c r="M142" s="14"/>
      <c r="N142" s="14"/>
    </row>
    <row r="143" spans="1:14" ht="15" customHeight="1" x14ac:dyDescent="0.2">
      <c r="A143" s="3" t="s">
        <v>189</v>
      </c>
      <c r="B143" s="4">
        <v>16</v>
      </c>
      <c r="C143" s="3" t="s">
        <v>5</v>
      </c>
      <c r="D143" s="3" t="s">
        <v>169</v>
      </c>
      <c r="E143" s="26" t="s">
        <v>170</v>
      </c>
      <c r="F143" s="26"/>
      <c r="G143" s="5">
        <v>0</v>
      </c>
      <c r="H143" s="3"/>
      <c r="I143" s="3"/>
      <c r="J143" s="26" t="s">
        <v>189</v>
      </c>
      <c r="K143" s="26"/>
      <c r="L143" s="3" t="s">
        <v>171</v>
      </c>
      <c r="M143" s="26" t="s">
        <v>172</v>
      </c>
      <c r="N143" s="26"/>
    </row>
    <row r="144" spans="1:14" ht="15" customHeight="1" x14ac:dyDescent="0.2">
      <c r="A144" s="1" t="s">
        <v>190</v>
      </c>
      <c r="B144" s="6">
        <v>17</v>
      </c>
      <c r="C144" s="1" t="s">
        <v>5</v>
      </c>
      <c r="D144" s="1" t="s">
        <v>174</v>
      </c>
      <c r="E144" s="14" t="s">
        <v>170</v>
      </c>
      <c r="F144" s="14"/>
      <c r="G144" s="7">
        <v>0</v>
      </c>
      <c r="H144" s="1"/>
      <c r="I144" s="1"/>
      <c r="J144" s="14" t="s">
        <v>190</v>
      </c>
      <c r="K144" s="14"/>
      <c r="L144" s="1" t="s">
        <v>171</v>
      </c>
      <c r="M144" s="14" t="s">
        <v>191</v>
      </c>
      <c r="N144" s="14"/>
    </row>
    <row r="145" spans="1:14" ht="15" customHeight="1" x14ac:dyDescent="0.2">
      <c r="A145" s="3" t="s">
        <v>192</v>
      </c>
      <c r="B145" s="4">
        <v>18</v>
      </c>
      <c r="C145" s="3" t="s">
        <v>5</v>
      </c>
      <c r="D145" s="3" t="s">
        <v>169</v>
      </c>
      <c r="E145" s="26" t="s">
        <v>170</v>
      </c>
      <c r="F145" s="26"/>
      <c r="G145" s="5">
        <v>0</v>
      </c>
      <c r="H145" s="3"/>
      <c r="I145" s="3"/>
      <c r="J145" s="26" t="s">
        <v>192</v>
      </c>
      <c r="K145" s="26"/>
      <c r="L145" s="3" t="s">
        <v>171</v>
      </c>
      <c r="M145" s="26" t="s">
        <v>172</v>
      </c>
      <c r="N145" s="26"/>
    </row>
    <row r="146" spans="1:14" ht="15" customHeight="1" x14ac:dyDescent="0.2">
      <c r="A146" s="1" t="s">
        <v>193</v>
      </c>
      <c r="B146" s="6">
        <v>19</v>
      </c>
      <c r="C146" s="1" t="s">
        <v>5</v>
      </c>
      <c r="D146" s="1" t="s">
        <v>174</v>
      </c>
      <c r="E146" s="14" t="s">
        <v>170</v>
      </c>
      <c r="F146" s="14"/>
      <c r="G146" s="7">
        <v>0</v>
      </c>
      <c r="H146" s="1"/>
      <c r="I146" s="1"/>
      <c r="J146" s="14" t="s">
        <v>193</v>
      </c>
      <c r="K146" s="14"/>
      <c r="L146" s="1" t="s">
        <v>171</v>
      </c>
      <c r="M146" s="14" t="s">
        <v>194</v>
      </c>
      <c r="N146" s="14"/>
    </row>
    <row r="147" spans="1:14" ht="15" customHeight="1" x14ac:dyDescent="0.2">
      <c r="A147" s="3" t="s">
        <v>195</v>
      </c>
      <c r="B147" s="4">
        <v>20</v>
      </c>
      <c r="C147" s="3" t="s">
        <v>5</v>
      </c>
      <c r="D147" s="3" t="s">
        <v>169</v>
      </c>
      <c r="E147" s="26" t="s">
        <v>170</v>
      </c>
      <c r="F147" s="26"/>
      <c r="G147" s="5">
        <v>0</v>
      </c>
      <c r="H147" s="3"/>
      <c r="I147" s="3"/>
      <c r="J147" s="26" t="s">
        <v>195</v>
      </c>
      <c r="K147" s="26"/>
      <c r="L147" s="3" t="s">
        <v>171</v>
      </c>
      <c r="M147" s="26" t="s">
        <v>172</v>
      </c>
      <c r="N147" s="26"/>
    </row>
    <row r="148" spans="1:14" ht="15" customHeight="1" x14ac:dyDescent="0.2">
      <c r="A148" s="1" t="s">
        <v>196</v>
      </c>
      <c r="B148" s="6">
        <v>21</v>
      </c>
      <c r="C148" s="1" t="s">
        <v>5</v>
      </c>
      <c r="D148" s="1" t="s">
        <v>174</v>
      </c>
      <c r="E148" s="14" t="s">
        <v>170</v>
      </c>
      <c r="F148" s="14"/>
      <c r="G148" s="7">
        <v>0</v>
      </c>
      <c r="H148" s="1"/>
      <c r="I148" s="1"/>
      <c r="J148" s="14" t="s">
        <v>196</v>
      </c>
      <c r="K148" s="14"/>
      <c r="L148" s="1" t="s">
        <v>171</v>
      </c>
      <c r="M148" s="14"/>
      <c r="N148" s="14"/>
    </row>
    <row r="149" spans="1:14" ht="15" customHeight="1" x14ac:dyDescent="0.2">
      <c r="A149" s="3" t="s">
        <v>197</v>
      </c>
      <c r="B149" s="4">
        <v>22</v>
      </c>
      <c r="C149" s="3" t="s">
        <v>5</v>
      </c>
      <c r="D149" s="3" t="s">
        <v>169</v>
      </c>
      <c r="E149" s="26" t="s">
        <v>170</v>
      </c>
      <c r="F149" s="26"/>
      <c r="G149" s="5">
        <v>0</v>
      </c>
      <c r="H149" s="3"/>
      <c r="I149" s="3"/>
      <c r="J149" s="26" t="s">
        <v>197</v>
      </c>
      <c r="K149" s="26"/>
      <c r="L149" s="3" t="s">
        <v>171</v>
      </c>
      <c r="M149" s="26" t="s">
        <v>172</v>
      </c>
      <c r="N149" s="26"/>
    </row>
    <row r="150" spans="1:14" ht="15" customHeight="1" x14ac:dyDescent="0.2">
      <c r="A150" s="1" t="s">
        <v>198</v>
      </c>
      <c r="B150" s="6">
        <v>23</v>
      </c>
      <c r="C150" s="1" t="s">
        <v>5</v>
      </c>
      <c r="D150" s="1" t="s">
        <v>174</v>
      </c>
      <c r="E150" s="14" t="s">
        <v>170</v>
      </c>
      <c r="F150" s="14"/>
      <c r="G150" s="7">
        <v>0</v>
      </c>
      <c r="H150" s="1"/>
      <c r="I150" s="1"/>
      <c r="J150" s="14" t="s">
        <v>198</v>
      </c>
      <c r="K150" s="14"/>
      <c r="L150" s="1" t="s">
        <v>171</v>
      </c>
      <c r="M150" s="14"/>
      <c r="N150" s="14"/>
    </row>
    <row r="151" spans="1:14" ht="15" customHeight="1" x14ac:dyDescent="0.2">
      <c r="A151" s="3" t="s">
        <v>199</v>
      </c>
      <c r="B151" s="4">
        <v>24</v>
      </c>
      <c r="C151" s="3" t="s">
        <v>5</v>
      </c>
      <c r="D151" s="3" t="s">
        <v>169</v>
      </c>
      <c r="E151" s="26" t="s">
        <v>170</v>
      </c>
      <c r="F151" s="26"/>
      <c r="G151" s="5">
        <v>0</v>
      </c>
      <c r="H151" s="3"/>
      <c r="I151" s="3"/>
      <c r="J151" s="26" t="s">
        <v>199</v>
      </c>
      <c r="K151" s="26"/>
      <c r="L151" s="3" t="s">
        <v>171</v>
      </c>
      <c r="M151" s="26" t="s">
        <v>172</v>
      </c>
      <c r="N151" s="26"/>
    </row>
    <row r="152" spans="1:14" ht="15" customHeight="1" x14ac:dyDescent="0.2">
      <c r="A152" s="1" t="s">
        <v>200</v>
      </c>
      <c r="B152" s="6">
        <v>25</v>
      </c>
      <c r="C152" s="1" t="s">
        <v>5</v>
      </c>
      <c r="D152" s="1" t="s">
        <v>174</v>
      </c>
      <c r="E152" s="14" t="s">
        <v>170</v>
      </c>
      <c r="F152" s="14"/>
      <c r="G152" s="7">
        <v>0</v>
      </c>
      <c r="H152" s="1"/>
      <c r="I152" s="1"/>
      <c r="J152" s="14" t="s">
        <v>200</v>
      </c>
      <c r="K152" s="14"/>
      <c r="L152" s="1" t="s">
        <v>171</v>
      </c>
      <c r="M152" s="14" t="s">
        <v>201</v>
      </c>
      <c r="N152" s="14"/>
    </row>
    <row r="153" spans="1:14" ht="15" customHeight="1" x14ac:dyDescent="0.2">
      <c r="A153" s="3" t="s">
        <v>202</v>
      </c>
      <c r="B153" s="4">
        <v>26</v>
      </c>
      <c r="C153" s="3" t="s">
        <v>5</v>
      </c>
      <c r="D153" s="3" t="s">
        <v>169</v>
      </c>
      <c r="E153" s="26" t="s">
        <v>170</v>
      </c>
      <c r="F153" s="26"/>
      <c r="G153" s="5">
        <v>0</v>
      </c>
      <c r="H153" s="3"/>
      <c r="I153" s="3"/>
      <c r="J153" s="26" t="s">
        <v>202</v>
      </c>
      <c r="K153" s="26"/>
      <c r="L153" s="3" t="s">
        <v>171</v>
      </c>
      <c r="M153" s="26" t="s">
        <v>172</v>
      </c>
      <c r="N153" s="26"/>
    </row>
    <row r="154" spans="1:14" ht="15" customHeight="1" x14ac:dyDescent="0.2">
      <c r="A154" s="1" t="s">
        <v>203</v>
      </c>
      <c r="B154" s="6">
        <v>27</v>
      </c>
      <c r="C154" s="1" t="s">
        <v>5</v>
      </c>
      <c r="D154" s="1" t="s">
        <v>174</v>
      </c>
      <c r="E154" s="14" t="s">
        <v>170</v>
      </c>
      <c r="F154" s="14"/>
      <c r="G154" s="7">
        <v>0</v>
      </c>
      <c r="H154" s="1"/>
      <c r="I154" s="1"/>
      <c r="J154" s="14" t="s">
        <v>203</v>
      </c>
      <c r="K154" s="14"/>
      <c r="L154" s="1" t="s">
        <v>171</v>
      </c>
      <c r="M154" s="14" t="s">
        <v>204</v>
      </c>
      <c r="N154" s="14"/>
    </row>
    <row r="155" spans="1:14" ht="15" customHeight="1" x14ac:dyDescent="0.2">
      <c r="A155" s="3" t="s">
        <v>205</v>
      </c>
      <c r="B155" s="4">
        <v>28</v>
      </c>
      <c r="C155" s="3" t="s">
        <v>5</v>
      </c>
      <c r="D155" s="3" t="s">
        <v>169</v>
      </c>
      <c r="E155" s="26" t="s">
        <v>170</v>
      </c>
      <c r="F155" s="26"/>
      <c r="G155" s="5">
        <v>0</v>
      </c>
      <c r="H155" s="3"/>
      <c r="I155" s="3"/>
      <c r="J155" s="26" t="s">
        <v>205</v>
      </c>
      <c r="K155" s="26"/>
      <c r="L155" s="3" t="s">
        <v>171</v>
      </c>
      <c r="M155" s="26" t="s">
        <v>172</v>
      </c>
      <c r="N155" s="26"/>
    </row>
    <row r="156" spans="1:14" ht="15" customHeight="1" x14ac:dyDescent="0.2">
      <c r="A156" s="1" t="s">
        <v>206</v>
      </c>
      <c r="B156" s="6">
        <v>29</v>
      </c>
      <c r="C156" s="1" t="s">
        <v>5</v>
      </c>
      <c r="D156" s="1" t="s">
        <v>174</v>
      </c>
      <c r="E156" s="14" t="s">
        <v>170</v>
      </c>
      <c r="F156" s="14"/>
      <c r="G156" s="7">
        <v>0</v>
      </c>
      <c r="H156" s="1"/>
      <c r="I156" s="1"/>
      <c r="J156" s="14" t="s">
        <v>206</v>
      </c>
      <c r="K156" s="14"/>
      <c r="L156" s="1" t="s">
        <v>171</v>
      </c>
      <c r="M156" s="14"/>
      <c r="N156" s="14"/>
    </row>
    <row r="157" spans="1:14" ht="15" customHeight="1" x14ac:dyDescent="0.2">
      <c r="A157" s="3" t="s">
        <v>207</v>
      </c>
      <c r="B157" s="4">
        <v>30</v>
      </c>
      <c r="C157" s="3" t="s">
        <v>5</v>
      </c>
      <c r="D157" s="3" t="s">
        <v>169</v>
      </c>
      <c r="E157" s="26" t="s">
        <v>170</v>
      </c>
      <c r="F157" s="26"/>
      <c r="G157" s="5">
        <v>0</v>
      </c>
      <c r="H157" s="3"/>
      <c r="I157" s="3"/>
      <c r="J157" s="26" t="s">
        <v>207</v>
      </c>
      <c r="K157" s="26"/>
      <c r="L157" s="3" t="s">
        <v>171</v>
      </c>
      <c r="M157" s="26" t="s">
        <v>172</v>
      </c>
      <c r="N157" s="26"/>
    </row>
    <row r="158" spans="1:14" ht="15" customHeight="1" x14ac:dyDescent="0.2">
      <c r="A158" s="1" t="s">
        <v>208</v>
      </c>
      <c r="B158" s="6">
        <v>31</v>
      </c>
      <c r="C158" s="1" t="s">
        <v>5</v>
      </c>
      <c r="D158" s="1" t="s">
        <v>174</v>
      </c>
      <c r="E158" s="14" t="s">
        <v>170</v>
      </c>
      <c r="F158" s="14"/>
      <c r="G158" s="7">
        <v>0</v>
      </c>
      <c r="H158" s="1"/>
      <c r="I158" s="1"/>
      <c r="J158" s="14" t="s">
        <v>208</v>
      </c>
      <c r="K158" s="14"/>
      <c r="L158" s="1" t="s">
        <v>171</v>
      </c>
      <c r="M158" s="14" t="s">
        <v>209</v>
      </c>
      <c r="N158" s="14"/>
    </row>
    <row r="159" spans="1:14" ht="15" customHeight="1" x14ac:dyDescent="0.2">
      <c r="A159" s="3" t="s">
        <v>210</v>
      </c>
      <c r="B159" s="4">
        <v>32</v>
      </c>
      <c r="C159" s="3" t="s">
        <v>5</v>
      </c>
      <c r="D159" s="3" t="s">
        <v>169</v>
      </c>
      <c r="E159" s="26" t="s">
        <v>170</v>
      </c>
      <c r="F159" s="26"/>
      <c r="G159" s="5">
        <v>0</v>
      </c>
      <c r="H159" s="3"/>
      <c r="I159" s="3"/>
      <c r="J159" s="26" t="s">
        <v>210</v>
      </c>
      <c r="K159" s="26"/>
      <c r="L159" s="3" t="s">
        <v>171</v>
      </c>
      <c r="M159" s="26" t="s">
        <v>172</v>
      </c>
      <c r="N159" s="26"/>
    </row>
    <row r="160" spans="1:14" ht="15" customHeight="1" x14ac:dyDescent="0.2">
      <c r="A160" s="1" t="s">
        <v>211</v>
      </c>
      <c r="B160" s="6">
        <v>33</v>
      </c>
      <c r="C160" s="1" t="s">
        <v>5</v>
      </c>
      <c r="D160" s="1" t="s">
        <v>174</v>
      </c>
      <c r="E160" s="14" t="s">
        <v>170</v>
      </c>
      <c r="F160" s="14"/>
      <c r="G160" s="7">
        <v>0</v>
      </c>
      <c r="H160" s="1"/>
      <c r="I160" s="1"/>
      <c r="J160" s="14" t="s">
        <v>211</v>
      </c>
      <c r="K160" s="14"/>
      <c r="L160" s="1" t="s">
        <v>171</v>
      </c>
      <c r="M160" s="14" t="s">
        <v>212</v>
      </c>
      <c r="N160" s="14"/>
    </row>
    <row r="161" spans="1:14" ht="15" customHeight="1" x14ac:dyDescent="0.2">
      <c r="A161" s="3" t="s">
        <v>213</v>
      </c>
      <c r="B161" s="4">
        <v>34</v>
      </c>
      <c r="C161" s="3" t="s">
        <v>5</v>
      </c>
      <c r="D161" s="3" t="s">
        <v>169</v>
      </c>
      <c r="E161" s="26" t="s">
        <v>170</v>
      </c>
      <c r="F161" s="26"/>
      <c r="G161" s="5">
        <v>0</v>
      </c>
      <c r="H161" s="3"/>
      <c r="I161" s="3"/>
      <c r="J161" s="26" t="s">
        <v>213</v>
      </c>
      <c r="K161" s="26"/>
      <c r="L161" s="3" t="s">
        <v>171</v>
      </c>
      <c r="M161" s="26" t="s">
        <v>172</v>
      </c>
      <c r="N161" s="26"/>
    </row>
    <row r="162" spans="1:14" ht="15" customHeight="1" x14ac:dyDescent="0.2">
      <c r="A162" s="1" t="s">
        <v>214</v>
      </c>
      <c r="B162" s="6">
        <v>35</v>
      </c>
      <c r="C162" s="1" t="s">
        <v>5</v>
      </c>
      <c r="D162" s="1" t="s">
        <v>174</v>
      </c>
      <c r="E162" s="14" t="s">
        <v>170</v>
      </c>
      <c r="F162" s="14"/>
      <c r="G162" s="7">
        <v>0</v>
      </c>
      <c r="H162" s="1"/>
      <c r="I162" s="1"/>
      <c r="J162" s="14" t="s">
        <v>214</v>
      </c>
      <c r="K162" s="14"/>
      <c r="L162" s="1" t="s">
        <v>171</v>
      </c>
      <c r="M162" s="14"/>
      <c r="N162" s="14"/>
    </row>
    <row r="163" spans="1:14" ht="15" customHeight="1" x14ac:dyDescent="0.2">
      <c r="A163" s="3" t="s">
        <v>215</v>
      </c>
      <c r="B163" s="4">
        <v>36</v>
      </c>
      <c r="C163" s="3" t="s">
        <v>5</v>
      </c>
      <c r="D163" s="3" t="s">
        <v>169</v>
      </c>
      <c r="E163" s="26" t="s">
        <v>170</v>
      </c>
      <c r="F163" s="26"/>
      <c r="G163" s="5">
        <v>0</v>
      </c>
      <c r="H163" s="3"/>
      <c r="I163" s="3"/>
      <c r="J163" s="26" t="s">
        <v>215</v>
      </c>
      <c r="K163" s="26"/>
      <c r="L163" s="3" t="s">
        <v>171</v>
      </c>
      <c r="M163" s="26" t="s">
        <v>172</v>
      </c>
      <c r="N163" s="26"/>
    </row>
    <row r="164" spans="1:14" ht="15" customHeight="1" x14ac:dyDescent="0.2">
      <c r="A164" s="1" t="s">
        <v>216</v>
      </c>
      <c r="B164" s="6">
        <v>37</v>
      </c>
      <c r="C164" s="1" t="s">
        <v>5</v>
      </c>
      <c r="D164" s="1" t="s">
        <v>174</v>
      </c>
      <c r="E164" s="14" t="s">
        <v>170</v>
      </c>
      <c r="F164" s="14"/>
      <c r="G164" s="7">
        <v>0</v>
      </c>
      <c r="H164" s="1"/>
      <c r="I164" s="1"/>
      <c r="J164" s="14" t="s">
        <v>216</v>
      </c>
      <c r="K164" s="14"/>
      <c r="L164" s="1" t="s">
        <v>171</v>
      </c>
      <c r="M164" s="14"/>
      <c r="N164" s="14"/>
    </row>
    <row r="165" spans="1:14" ht="15" customHeight="1" x14ac:dyDescent="0.2">
      <c r="A165" s="3" t="s">
        <v>217</v>
      </c>
      <c r="B165" s="4">
        <v>38</v>
      </c>
      <c r="C165" s="3" t="s">
        <v>5</v>
      </c>
      <c r="D165" s="3" t="s">
        <v>169</v>
      </c>
      <c r="E165" s="26" t="s">
        <v>170</v>
      </c>
      <c r="F165" s="26"/>
      <c r="G165" s="5">
        <v>0</v>
      </c>
      <c r="H165" s="3"/>
      <c r="I165" s="3"/>
      <c r="J165" s="26" t="s">
        <v>217</v>
      </c>
      <c r="K165" s="26"/>
      <c r="L165" s="3" t="s">
        <v>171</v>
      </c>
      <c r="M165" s="26" t="s">
        <v>172</v>
      </c>
      <c r="N165" s="26"/>
    </row>
    <row r="166" spans="1:14" ht="15" customHeight="1" x14ac:dyDescent="0.2">
      <c r="A166" s="1" t="s">
        <v>218</v>
      </c>
      <c r="B166" s="6">
        <v>39</v>
      </c>
      <c r="C166" s="1" t="s">
        <v>5</v>
      </c>
      <c r="D166" s="1" t="s">
        <v>174</v>
      </c>
      <c r="E166" s="14" t="s">
        <v>170</v>
      </c>
      <c r="F166" s="14"/>
      <c r="G166" s="7">
        <v>0</v>
      </c>
      <c r="H166" s="1"/>
      <c r="I166" s="1"/>
      <c r="J166" s="14" t="s">
        <v>218</v>
      </c>
      <c r="K166" s="14"/>
      <c r="L166" s="1" t="s">
        <v>171</v>
      </c>
      <c r="M166" s="14"/>
      <c r="N166" s="14"/>
    </row>
    <row r="167" spans="1:14" ht="15" customHeight="1" x14ac:dyDescent="0.2">
      <c r="A167" s="3" t="s">
        <v>219</v>
      </c>
      <c r="B167" s="4">
        <v>40</v>
      </c>
      <c r="C167" s="3" t="s">
        <v>5</v>
      </c>
      <c r="D167" s="3" t="s">
        <v>169</v>
      </c>
      <c r="E167" s="26" t="s">
        <v>170</v>
      </c>
      <c r="F167" s="26"/>
      <c r="G167" s="5">
        <v>0</v>
      </c>
      <c r="H167" s="3"/>
      <c r="I167" s="3"/>
      <c r="J167" s="26" t="s">
        <v>219</v>
      </c>
      <c r="K167" s="26"/>
      <c r="L167" s="3" t="s">
        <v>171</v>
      </c>
      <c r="M167" s="26" t="s">
        <v>172</v>
      </c>
      <c r="N167" s="26"/>
    </row>
    <row r="168" spans="1:14" ht="15" customHeight="1" x14ac:dyDescent="0.2">
      <c r="A168" s="1" t="s">
        <v>220</v>
      </c>
      <c r="B168" s="6">
        <v>41</v>
      </c>
      <c r="C168" s="1" t="s">
        <v>5</v>
      </c>
      <c r="D168" s="1" t="s">
        <v>174</v>
      </c>
      <c r="E168" s="14" t="s">
        <v>170</v>
      </c>
      <c r="F168" s="14"/>
      <c r="G168" s="7">
        <v>0</v>
      </c>
      <c r="H168" s="1"/>
      <c r="I168" s="1"/>
      <c r="J168" s="14" t="s">
        <v>220</v>
      </c>
      <c r="K168" s="14"/>
      <c r="L168" s="1" t="s">
        <v>171</v>
      </c>
      <c r="M168" s="14" t="s">
        <v>221</v>
      </c>
      <c r="N168" s="14"/>
    </row>
    <row r="169" spans="1:14" ht="15" customHeight="1" x14ac:dyDescent="0.2">
      <c r="A169" s="3" t="s">
        <v>222</v>
      </c>
      <c r="B169" s="4">
        <v>42</v>
      </c>
      <c r="C169" s="3" t="s">
        <v>5</v>
      </c>
      <c r="D169" s="3" t="s">
        <v>169</v>
      </c>
      <c r="E169" s="26" t="s">
        <v>170</v>
      </c>
      <c r="F169" s="26"/>
      <c r="G169" s="5">
        <v>0</v>
      </c>
      <c r="H169" s="3"/>
      <c r="I169" s="3"/>
      <c r="J169" s="26" t="s">
        <v>222</v>
      </c>
      <c r="K169" s="26"/>
      <c r="L169" s="3" t="s">
        <v>171</v>
      </c>
      <c r="M169" s="26" t="s">
        <v>172</v>
      </c>
      <c r="N169" s="26"/>
    </row>
    <row r="170" spans="1:14" ht="15" customHeight="1" x14ac:dyDescent="0.2">
      <c r="A170" s="1" t="s">
        <v>223</v>
      </c>
      <c r="B170" s="6">
        <v>43</v>
      </c>
      <c r="C170" s="1" t="s">
        <v>5</v>
      </c>
      <c r="D170" s="1" t="s">
        <v>174</v>
      </c>
      <c r="E170" s="14" t="s">
        <v>170</v>
      </c>
      <c r="F170" s="14"/>
      <c r="G170" s="7">
        <v>0</v>
      </c>
      <c r="H170" s="1"/>
      <c r="I170" s="1"/>
      <c r="J170" s="14" t="s">
        <v>223</v>
      </c>
      <c r="K170" s="14"/>
      <c r="L170" s="1" t="s">
        <v>171</v>
      </c>
      <c r="M170" s="14" t="s">
        <v>224</v>
      </c>
      <c r="N170" s="14"/>
    </row>
    <row r="171" spans="1:14" ht="15" customHeight="1" x14ac:dyDescent="0.2">
      <c r="A171" s="3" t="s">
        <v>225</v>
      </c>
      <c r="B171" s="4">
        <v>44</v>
      </c>
      <c r="C171" s="3" t="s">
        <v>5</v>
      </c>
      <c r="D171" s="3" t="s">
        <v>169</v>
      </c>
      <c r="E171" s="26" t="s">
        <v>170</v>
      </c>
      <c r="F171" s="26"/>
      <c r="G171" s="5">
        <v>0</v>
      </c>
      <c r="H171" s="3"/>
      <c r="I171" s="3"/>
      <c r="J171" s="26" t="s">
        <v>225</v>
      </c>
      <c r="K171" s="26"/>
      <c r="L171" s="3" t="s">
        <v>171</v>
      </c>
      <c r="M171" s="26" t="s">
        <v>172</v>
      </c>
      <c r="N171" s="26"/>
    </row>
    <row r="172" spans="1:14" ht="15" customHeight="1" x14ac:dyDescent="0.2">
      <c r="A172" s="1" t="s">
        <v>226</v>
      </c>
      <c r="B172" s="6">
        <v>45</v>
      </c>
      <c r="C172" s="1" t="s">
        <v>5</v>
      </c>
      <c r="D172" s="1" t="s">
        <v>174</v>
      </c>
      <c r="E172" s="14" t="s">
        <v>170</v>
      </c>
      <c r="F172" s="14"/>
      <c r="G172" s="7">
        <v>0</v>
      </c>
      <c r="H172" s="1"/>
      <c r="I172" s="1"/>
      <c r="J172" s="14" t="s">
        <v>226</v>
      </c>
      <c r="K172" s="14"/>
      <c r="L172" s="1" t="s">
        <v>171</v>
      </c>
      <c r="M172" s="14"/>
      <c r="N172" s="14"/>
    </row>
    <row r="173" spans="1:14" ht="15" customHeight="1" x14ac:dyDescent="0.2">
      <c r="A173" s="3" t="s">
        <v>227</v>
      </c>
      <c r="B173" s="4">
        <v>46</v>
      </c>
      <c r="C173" s="3" t="s">
        <v>5</v>
      </c>
      <c r="D173" s="3" t="s">
        <v>169</v>
      </c>
      <c r="E173" s="26" t="s">
        <v>170</v>
      </c>
      <c r="F173" s="26"/>
      <c r="G173" s="5">
        <v>0</v>
      </c>
      <c r="H173" s="3"/>
      <c r="I173" s="3"/>
      <c r="J173" s="26" t="s">
        <v>227</v>
      </c>
      <c r="K173" s="26"/>
      <c r="L173" s="3" t="s">
        <v>171</v>
      </c>
      <c r="M173" s="26" t="s">
        <v>172</v>
      </c>
      <c r="N173" s="26"/>
    </row>
    <row r="174" spans="1:14" ht="15" customHeight="1" x14ac:dyDescent="0.2">
      <c r="A174" s="1" t="s">
        <v>228</v>
      </c>
      <c r="B174" s="6">
        <v>47</v>
      </c>
      <c r="C174" s="1" t="s">
        <v>5</v>
      </c>
      <c r="D174" s="1" t="s">
        <v>174</v>
      </c>
      <c r="E174" s="14" t="s">
        <v>170</v>
      </c>
      <c r="F174" s="14"/>
      <c r="G174" s="7">
        <v>0</v>
      </c>
      <c r="H174" s="1"/>
      <c r="I174" s="1"/>
      <c r="J174" s="14" t="s">
        <v>228</v>
      </c>
      <c r="K174" s="14"/>
      <c r="L174" s="1" t="s">
        <v>171</v>
      </c>
      <c r="M174" s="14" t="s">
        <v>229</v>
      </c>
      <c r="N174" s="14"/>
    </row>
    <row r="175" spans="1:14" ht="15" customHeight="1" x14ac:dyDescent="0.2">
      <c r="A175" s="3" t="s">
        <v>230</v>
      </c>
      <c r="B175" s="4">
        <v>48</v>
      </c>
      <c r="C175" s="3" t="s">
        <v>5</v>
      </c>
      <c r="D175" s="3" t="s">
        <v>169</v>
      </c>
      <c r="E175" s="26" t="s">
        <v>170</v>
      </c>
      <c r="F175" s="26"/>
      <c r="G175" s="5">
        <v>0</v>
      </c>
      <c r="H175" s="3"/>
      <c r="I175" s="3"/>
      <c r="J175" s="26" t="s">
        <v>230</v>
      </c>
      <c r="K175" s="26"/>
      <c r="L175" s="3" t="s">
        <v>171</v>
      </c>
      <c r="M175" s="26" t="s">
        <v>172</v>
      </c>
      <c r="N175" s="26"/>
    </row>
    <row r="176" spans="1:14" ht="15" customHeight="1" x14ac:dyDescent="0.2">
      <c r="A176" s="1" t="s">
        <v>231</v>
      </c>
      <c r="B176" s="6">
        <v>49</v>
      </c>
      <c r="C176" s="1" t="s">
        <v>5</v>
      </c>
      <c r="D176" s="1" t="s">
        <v>174</v>
      </c>
      <c r="E176" s="14" t="s">
        <v>170</v>
      </c>
      <c r="F176" s="14"/>
      <c r="G176" s="7">
        <v>0</v>
      </c>
      <c r="H176" s="1"/>
      <c r="I176" s="1"/>
      <c r="J176" s="14" t="s">
        <v>231</v>
      </c>
      <c r="K176" s="14"/>
      <c r="L176" s="1" t="s">
        <v>171</v>
      </c>
      <c r="M176" s="14" t="s">
        <v>232</v>
      </c>
      <c r="N176" s="14"/>
    </row>
    <row r="177" spans="1:14" ht="15" customHeight="1" x14ac:dyDescent="0.2">
      <c r="A177" s="3" t="s">
        <v>233</v>
      </c>
      <c r="B177" s="4">
        <v>50</v>
      </c>
      <c r="C177" s="3" t="s">
        <v>5</v>
      </c>
      <c r="D177" s="3" t="s">
        <v>169</v>
      </c>
      <c r="E177" s="26" t="s">
        <v>170</v>
      </c>
      <c r="F177" s="26"/>
      <c r="G177" s="5">
        <v>0</v>
      </c>
      <c r="H177" s="3"/>
      <c r="I177" s="3"/>
      <c r="J177" s="26" t="s">
        <v>233</v>
      </c>
      <c r="K177" s="26"/>
      <c r="L177" s="3" t="s">
        <v>171</v>
      </c>
      <c r="M177" s="26" t="s">
        <v>172</v>
      </c>
      <c r="N177" s="26"/>
    </row>
    <row r="178" spans="1:14" ht="15" customHeight="1" x14ac:dyDescent="0.2">
      <c r="A178" s="1" t="s">
        <v>234</v>
      </c>
      <c r="B178" s="6">
        <v>51</v>
      </c>
      <c r="C178" s="1" t="s">
        <v>5</v>
      </c>
      <c r="D178" s="1" t="s">
        <v>174</v>
      </c>
      <c r="E178" s="14" t="s">
        <v>170</v>
      </c>
      <c r="F178" s="14"/>
      <c r="G178" s="7">
        <v>0</v>
      </c>
      <c r="H178" s="1"/>
      <c r="I178" s="1"/>
      <c r="J178" s="14" t="s">
        <v>234</v>
      </c>
      <c r="K178" s="14"/>
      <c r="L178" s="1" t="s">
        <v>171</v>
      </c>
      <c r="M178" s="14" t="s">
        <v>235</v>
      </c>
      <c r="N178" s="14"/>
    </row>
    <row r="179" spans="1:14" ht="15" customHeight="1" x14ac:dyDescent="0.2">
      <c r="A179" s="3" t="s">
        <v>236</v>
      </c>
      <c r="B179" s="4">
        <v>52</v>
      </c>
      <c r="C179" s="3" t="s">
        <v>5</v>
      </c>
      <c r="D179" s="3" t="s">
        <v>169</v>
      </c>
      <c r="E179" s="26" t="s">
        <v>170</v>
      </c>
      <c r="F179" s="26"/>
      <c r="G179" s="5">
        <v>0</v>
      </c>
      <c r="H179" s="3"/>
      <c r="I179" s="3"/>
      <c r="J179" s="26" t="s">
        <v>236</v>
      </c>
      <c r="K179" s="26"/>
      <c r="L179" s="3" t="s">
        <v>171</v>
      </c>
      <c r="M179" s="26" t="s">
        <v>172</v>
      </c>
      <c r="N179" s="26"/>
    </row>
    <row r="180" spans="1:14" ht="15" customHeight="1" x14ac:dyDescent="0.2">
      <c r="A180" s="1" t="s">
        <v>237</v>
      </c>
      <c r="B180" s="6">
        <v>53</v>
      </c>
      <c r="C180" s="1" t="s">
        <v>5</v>
      </c>
      <c r="D180" s="1" t="s">
        <v>174</v>
      </c>
      <c r="E180" s="14" t="s">
        <v>170</v>
      </c>
      <c r="F180" s="14"/>
      <c r="G180" s="7">
        <v>0</v>
      </c>
      <c r="H180" s="1"/>
      <c r="I180" s="1"/>
      <c r="J180" s="14" t="s">
        <v>237</v>
      </c>
      <c r="K180" s="14"/>
      <c r="L180" s="1" t="s">
        <v>171</v>
      </c>
      <c r="M180" s="14"/>
      <c r="N180" s="14"/>
    </row>
    <row r="181" spans="1:14" ht="15" customHeight="1" x14ac:dyDescent="0.2">
      <c r="A181" s="3" t="s">
        <v>238</v>
      </c>
      <c r="B181" s="4">
        <v>54</v>
      </c>
      <c r="C181" s="3" t="s">
        <v>5</v>
      </c>
      <c r="D181" s="3" t="s">
        <v>169</v>
      </c>
      <c r="E181" s="26" t="s">
        <v>170</v>
      </c>
      <c r="F181" s="26"/>
      <c r="G181" s="5">
        <v>0</v>
      </c>
      <c r="H181" s="3"/>
      <c r="I181" s="3"/>
      <c r="J181" s="26" t="s">
        <v>238</v>
      </c>
      <c r="K181" s="26"/>
      <c r="L181" s="3" t="s">
        <v>171</v>
      </c>
      <c r="M181" s="26" t="s">
        <v>172</v>
      </c>
      <c r="N181" s="26"/>
    </row>
    <row r="182" spans="1:14" ht="15" customHeight="1" x14ac:dyDescent="0.2">
      <c r="A182" s="1" t="s">
        <v>239</v>
      </c>
      <c r="B182" s="6">
        <v>55</v>
      </c>
      <c r="C182" s="1" t="s">
        <v>5</v>
      </c>
      <c r="D182" s="1" t="s">
        <v>174</v>
      </c>
      <c r="E182" s="14" t="s">
        <v>170</v>
      </c>
      <c r="F182" s="14"/>
      <c r="G182" s="7">
        <v>0</v>
      </c>
      <c r="H182" s="1"/>
      <c r="I182" s="1"/>
      <c r="J182" s="14" t="s">
        <v>239</v>
      </c>
      <c r="K182" s="14"/>
      <c r="L182" s="1" t="s">
        <v>171</v>
      </c>
      <c r="M182" s="14"/>
      <c r="N182" s="14"/>
    </row>
    <row r="183" spans="1:14" ht="15" customHeight="1" x14ac:dyDescent="0.2">
      <c r="A183" s="3" t="s">
        <v>240</v>
      </c>
      <c r="B183" s="4">
        <v>56</v>
      </c>
      <c r="C183" s="3" t="s">
        <v>5</v>
      </c>
      <c r="D183" s="3" t="s">
        <v>169</v>
      </c>
      <c r="E183" s="26" t="s">
        <v>170</v>
      </c>
      <c r="F183" s="26"/>
      <c r="G183" s="5">
        <v>0</v>
      </c>
      <c r="H183" s="3"/>
      <c r="I183" s="3"/>
      <c r="J183" s="26" t="s">
        <v>240</v>
      </c>
      <c r="K183" s="26"/>
      <c r="L183" s="3" t="s">
        <v>171</v>
      </c>
      <c r="M183" s="26" t="s">
        <v>172</v>
      </c>
      <c r="N183" s="26"/>
    </row>
    <row r="184" spans="1:14" ht="15" customHeight="1" x14ac:dyDescent="0.2">
      <c r="A184" s="1" t="s">
        <v>241</v>
      </c>
      <c r="B184" s="6">
        <v>57</v>
      </c>
      <c r="C184" s="1" t="s">
        <v>5</v>
      </c>
      <c r="D184" s="1" t="s">
        <v>174</v>
      </c>
      <c r="E184" s="14" t="s">
        <v>170</v>
      </c>
      <c r="F184" s="14"/>
      <c r="G184" s="7">
        <v>0</v>
      </c>
      <c r="H184" s="1"/>
      <c r="I184" s="1"/>
      <c r="J184" s="14" t="s">
        <v>241</v>
      </c>
      <c r="K184" s="14"/>
      <c r="L184" s="1" t="s">
        <v>171</v>
      </c>
      <c r="M184" s="14" t="s">
        <v>242</v>
      </c>
      <c r="N184" s="14"/>
    </row>
    <row r="185" spans="1:14" ht="20.100000000000001" customHeight="1" x14ac:dyDescent="0.2">
      <c r="A185" s="27" t="s">
        <v>243</v>
      </c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</row>
    <row r="186" spans="1:14" ht="20.100000000000001" customHeight="1" x14ac:dyDescent="0.2">
      <c r="A186" s="2" t="s">
        <v>165</v>
      </c>
      <c r="B186" s="2" t="s">
        <v>244</v>
      </c>
      <c r="C186" s="2" t="s">
        <v>159</v>
      </c>
      <c r="D186" s="2" t="s">
        <v>160</v>
      </c>
      <c r="E186" s="2" t="s">
        <v>245</v>
      </c>
      <c r="F186" s="2" t="s">
        <v>161</v>
      </c>
      <c r="G186" s="2" t="s">
        <v>162</v>
      </c>
      <c r="H186" s="2" t="s">
        <v>158</v>
      </c>
      <c r="I186" s="2" t="s">
        <v>246</v>
      </c>
      <c r="J186" s="2" t="s">
        <v>247</v>
      </c>
      <c r="K186" s="2" t="s">
        <v>248</v>
      </c>
      <c r="L186" s="2" t="s">
        <v>249</v>
      </c>
      <c r="M186" s="25" t="s">
        <v>167</v>
      </c>
      <c r="N186" s="25"/>
    </row>
    <row r="187" spans="1:14" ht="15" customHeight="1" x14ac:dyDescent="0.2">
      <c r="A187" s="3" t="s">
        <v>250</v>
      </c>
      <c r="B187" s="4">
        <v>1</v>
      </c>
      <c r="C187" s="3"/>
      <c r="D187" s="3" t="s">
        <v>251</v>
      </c>
      <c r="E187" s="3"/>
      <c r="F187" s="3"/>
      <c r="G187" s="3"/>
      <c r="H187" s="3"/>
      <c r="I187" s="5">
        <v>0</v>
      </c>
      <c r="J187" s="5">
        <v>0</v>
      </c>
      <c r="K187" s="5">
        <v>300</v>
      </c>
      <c r="L187" s="5">
        <v>300</v>
      </c>
      <c r="M187" s="26"/>
      <c r="N187" s="26"/>
    </row>
    <row r="188" spans="1:14" ht="15" customHeight="1" x14ac:dyDescent="0.2">
      <c r="A188" s="1" t="s">
        <v>168</v>
      </c>
      <c r="B188" s="6">
        <v>2</v>
      </c>
      <c r="C188" s="1" t="s">
        <v>5</v>
      </c>
      <c r="D188" s="1" t="s">
        <v>169</v>
      </c>
      <c r="E188" s="1" t="s">
        <v>252</v>
      </c>
      <c r="F188" s="1" t="s">
        <v>253</v>
      </c>
      <c r="G188" s="7">
        <v>25549.19</v>
      </c>
      <c r="H188" s="6">
        <v>2</v>
      </c>
      <c r="I188" s="7">
        <v>0</v>
      </c>
      <c r="J188" s="7">
        <v>0</v>
      </c>
      <c r="K188" s="7">
        <v>0</v>
      </c>
      <c r="L188" s="7">
        <v>300</v>
      </c>
      <c r="M188" s="14" t="s">
        <v>172</v>
      </c>
      <c r="N188" s="14"/>
    </row>
    <row r="189" spans="1:14" ht="15" customHeight="1" x14ac:dyDescent="0.2">
      <c r="A189" s="3" t="s">
        <v>173</v>
      </c>
      <c r="B189" s="4">
        <v>3</v>
      </c>
      <c r="C189" s="3" t="s">
        <v>5</v>
      </c>
      <c r="D189" s="3" t="s">
        <v>174</v>
      </c>
      <c r="E189" s="3" t="s">
        <v>254</v>
      </c>
      <c r="F189" s="3" t="s">
        <v>253</v>
      </c>
      <c r="G189" s="5">
        <v>25792.69</v>
      </c>
      <c r="H189" s="4">
        <v>3</v>
      </c>
      <c r="I189" s="5">
        <v>0</v>
      </c>
      <c r="J189" s="5">
        <v>0</v>
      </c>
      <c r="K189" s="5">
        <v>24.35</v>
      </c>
      <c r="L189" s="5">
        <v>324.35000000000002</v>
      </c>
      <c r="M189" s="26"/>
      <c r="N189" s="26"/>
    </row>
    <row r="190" spans="1:14" ht="15" customHeight="1" x14ac:dyDescent="0.2">
      <c r="A190" s="1" t="s">
        <v>175</v>
      </c>
      <c r="B190" s="6">
        <v>4</v>
      </c>
      <c r="C190" s="1" t="s">
        <v>5</v>
      </c>
      <c r="D190" s="1" t="s">
        <v>169</v>
      </c>
      <c r="E190" s="1" t="s">
        <v>252</v>
      </c>
      <c r="F190" s="1" t="s">
        <v>253</v>
      </c>
      <c r="G190" s="7">
        <v>25602.1</v>
      </c>
      <c r="H190" s="6">
        <v>4</v>
      </c>
      <c r="I190" s="7">
        <v>0</v>
      </c>
      <c r="J190" s="7">
        <v>0</v>
      </c>
      <c r="K190" s="7">
        <v>0</v>
      </c>
      <c r="L190" s="7">
        <v>324.35000000000002</v>
      </c>
      <c r="M190" s="14" t="s">
        <v>172</v>
      </c>
      <c r="N190" s="14"/>
    </row>
    <row r="191" spans="1:14" ht="15" customHeight="1" x14ac:dyDescent="0.2">
      <c r="A191" s="3" t="s">
        <v>176</v>
      </c>
      <c r="B191" s="4">
        <v>5</v>
      </c>
      <c r="C191" s="3" t="s">
        <v>5</v>
      </c>
      <c r="D191" s="3" t="s">
        <v>169</v>
      </c>
      <c r="E191" s="3" t="s">
        <v>252</v>
      </c>
      <c r="F191" s="3" t="s">
        <v>253</v>
      </c>
      <c r="G191" s="5">
        <v>25527.22</v>
      </c>
      <c r="H191" s="4">
        <v>5</v>
      </c>
      <c r="I191" s="5">
        <v>0</v>
      </c>
      <c r="J191" s="5">
        <v>0</v>
      </c>
      <c r="K191" s="5">
        <v>0</v>
      </c>
      <c r="L191" s="5">
        <v>324.35000000000002</v>
      </c>
      <c r="M191" s="26" t="s">
        <v>177</v>
      </c>
      <c r="N191" s="26"/>
    </row>
    <row r="192" spans="1:14" ht="15" customHeight="1" x14ac:dyDescent="0.2">
      <c r="A192" s="1" t="s">
        <v>178</v>
      </c>
      <c r="B192" s="6">
        <v>6</v>
      </c>
      <c r="C192" s="1" t="s">
        <v>5</v>
      </c>
      <c r="D192" s="1" t="s">
        <v>174</v>
      </c>
      <c r="E192" s="1" t="s">
        <v>254</v>
      </c>
      <c r="F192" s="1" t="s">
        <v>253</v>
      </c>
      <c r="G192" s="7">
        <v>25517.65</v>
      </c>
      <c r="H192" s="6">
        <v>6</v>
      </c>
      <c r="I192" s="7">
        <v>0</v>
      </c>
      <c r="J192" s="7">
        <v>0</v>
      </c>
      <c r="K192" s="7">
        <v>-0.96</v>
      </c>
      <c r="L192" s="7">
        <v>323.39</v>
      </c>
      <c r="M192" s="14"/>
      <c r="N192" s="14"/>
    </row>
    <row r="193" spans="1:14" ht="15" customHeight="1" x14ac:dyDescent="0.2">
      <c r="A193" s="3" t="s">
        <v>178</v>
      </c>
      <c r="B193" s="4">
        <v>7</v>
      </c>
      <c r="C193" s="3" t="s">
        <v>5</v>
      </c>
      <c r="D193" s="3" t="s">
        <v>174</v>
      </c>
      <c r="E193" s="3" t="s">
        <v>254</v>
      </c>
      <c r="F193" s="3" t="s">
        <v>253</v>
      </c>
      <c r="G193" s="5">
        <v>25517.52</v>
      </c>
      <c r="H193" s="4">
        <v>7</v>
      </c>
      <c r="I193" s="5">
        <v>0</v>
      </c>
      <c r="J193" s="5">
        <v>0</v>
      </c>
      <c r="K193" s="5">
        <v>-8.4600000000000009</v>
      </c>
      <c r="L193" s="5">
        <v>314.93</v>
      </c>
      <c r="M193" s="26"/>
      <c r="N193" s="26"/>
    </row>
    <row r="194" spans="1:14" ht="15" customHeight="1" x14ac:dyDescent="0.2">
      <c r="A194" s="1" t="s">
        <v>179</v>
      </c>
      <c r="B194" s="6">
        <v>8</v>
      </c>
      <c r="C194" s="1" t="s">
        <v>5</v>
      </c>
      <c r="D194" s="1" t="s">
        <v>169</v>
      </c>
      <c r="E194" s="1" t="s">
        <v>252</v>
      </c>
      <c r="F194" s="1" t="s">
        <v>253</v>
      </c>
      <c r="G194" s="7">
        <v>25553.22</v>
      </c>
      <c r="H194" s="6">
        <v>8</v>
      </c>
      <c r="I194" s="7">
        <v>0</v>
      </c>
      <c r="J194" s="7">
        <v>0</v>
      </c>
      <c r="K194" s="7">
        <v>0</v>
      </c>
      <c r="L194" s="7">
        <v>314.93</v>
      </c>
      <c r="M194" s="14" t="s">
        <v>172</v>
      </c>
      <c r="N194" s="14"/>
    </row>
    <row r="195" spans="1:14" ht="15" customHeight="1" x14ac:dyDescent="0.2">
      <c r="A195" s="3" t="s">
        <v>180</v>
      </c>
      <c r="B195" s="4">
        <v>9</v>
      </c>
      <c r="C195" s="3" t="s">
        <v>5</v>
      </c>
      <c r="D195" s="3" t="s">
        <v>174</v>
      </c>
      <c r="E195" s="3" t="s">
        <v>254</v>
      </c>
      <c r="F195" s="3" t="s">
        <v>253</v>
      </c>
      <c r="G195" s="5">
        <v>25431.15</v>
      </c>
      <c r="H195" s="4">
        <v>9</v>
      </c>
      <c r="I195" s="5">
        <v>0</v>
      </c>
      <c r="J195" s="5">
        <v>0</v>
      </c>
      <c r="K195" s="5">
        <v>-12.21</v>
      </c>
      <c r="L195" s="5">
        <v>302.72000000000003</v>
      </c>
      <c r="M195" s="26" t="s">
        <v>181</v>
      </c>
      <c r="N195" s="26"/>
    </row>
    <row r="196" spans="1:14" ht="15" customHeight="1" x14ac:dyDescent="0.2">
      <c r="A196" s="1" t="s">
        <v>182</v>
      </c>
      <c r="B196" s="6">
        <v>10</v>
      </c>
      <c r="C196" s="1" t="s">
        <v>5</v>
      </c>
      <c r="D196" s="1" t="s">
        <v>169</v>
      </c>
      <c r="E196" s="1" t="s">
        <v>252</v>
      </c>
      <c r="F196" s="1" t="s">
        <v>253</v>
      </c>
      <c r="G196" s="7">
        <v>25635.22</v>
      </c>
      <c r="H196" s="6">
        <v>10</v>
      </c>
      <c r="I196" s="7">
        <v>0</v>
      </c>
      <c r="J196" s="7">
        <v>0</v>
      </c>
      <c r="K196" s="7">
        <v>0</v>
      </c>
      <c r="L196" s="7">
        <v>302.72000000000003</v>
      </c>
      <c r="M196" s="14" t="s">
        <v>172</v>
      </c>
      <c r="N196" s="14"/>
    </row>
    <row r="197" spans="1:14" ht="15" customHeight="1" x14ac:dyDescent="0.2">
      <c r="A197" s="3" t="s">
        <v>183</v>
      </c>
      <c r="B197" s="4">
        <v>11</v>
      </c>
      <c r="C197" s="3" t="s">
        <v>5</v>
      </c>
      <c r="D197" s="3" t="s">
        <v>174</v>
      </c>
      <c r="E197" s="3" t="s">
        <v>254</v>
      </c>
      <c r="F197" s="3" t="s">
        <v>253</v>
      </c>
      <c r="G197" s="5">
        <v>25578.27</v>
      </c>
      <c r="H197" s="4">
        <v>11</v>
      </c>
      <c r="I197" s="5">
        <v>0</v>
      </c>
      <c r="J197" s="5">
        <v>0</v>
      </c>
      <c r="K197" s="5">
        <v>-5.7</v>
      </c>
      <c r="L197" s="5">
        <v>297.02</v>
      </c>
      <c r="M197" s="26"/>
      <c r="N197" s="26"/>
    </row>
    <row r="198" spans="1:14" ht="15" customHeight="1" x14ac:dyDescent="0.2">
      <c r="A198" s="1" t="s">
        <v>184</v>
      </c>
      <c r="B198" s="6">
        <v>12</v>
      </c>
      <c r="C198" s="1" t="s">
        <v>5</v>
      </c>
      <c r="D198" s="1" t="s">
        <v>169</v>
      </c>
      <c r="E198" s="1" t="s">
        <v>252</v>
      </c>
      <c r="F198" s="1" t="s">
        <v>253</v>
      </c>
      <c r="G198" s="7">
        <v>25545.97</v>
      </c>
      <c r="H198" s="6">
        <v>12</v>
      </c>
      <c r="I198" s="7">
        <v>0</v>
      </c>
      <c r="J198" s="7">
        <v>0</v>
      </c>
      <c r="K198" s="7">
        <v>0</v>
      </c>
      <c r="L198" s="7">
        <v>297.02</v>
      </c>
      <c r="M198" s="14" t="s">
        <v>172</v>
      </c>
      <c r="N198" s="14"/>
    </row>
    <row r="199" spans="1:14" ht="15" customHeight="1" x14ac:dyDescent="0.2">
      <c r="A199" s="3" t="s">
        <v>185</v>
      </c>
      <c r="B199" s="4">
        <v>13</v>
      </c>
      <c r="C199" s="3" t="s">
        <v>5</v>
      </c>
      <c r="D199" s="3" t="s">
        <v>174</v>
      </c>
      <c r="E199" s="3" t="s">
        <v>254</v>
      </c>
      <c r="F199" s="3" t="s">
        <v>253</v>
      </c>
      <c r="G199" s="5">
        <v>25473.02</v>
      </c>
      <c r="H199" s="4">
        <v>13</v>
      </c>
      <c r="I199" s="5">
        <v>0</v>
      </c>
      <c r="J199" s="5">
        <v>0</v>
      </c>
      <c r="K199" s="5">
        <v>-7.3</v>
      </c>
      <c r="L199" s="5">
        <v>289.72000000000003</v>
      </c>
      <c r="M199" s="26" t="s">
        <v>186</v>
      </c>
      <c r="N199" s="26"/>
    </row>
    <row r="200" spans="1:14" ht="15" customHeight="1" x14ac:dyDescent="0.2">
      <c r="A200" s="1" t="s">
        <v>187</v>
      </c>
      <c r="B200" s="6">
        <v>14</v>
      </c>
      <c r="C200" s="1" t="s">
        <v>5</v>
      </c>
      <c r="D200" s="1" t="s">
        <v>169</v>
      </c>
      <c r="E200" s="1" t="s">
        <v>252</v>
      </c>
      <c r="F200" s="1" t="s">
        <v>253</v>
      </c>
      <c r="G200" s="7">
        <v>25506.85</v>
      </c>
      <c r="H200" s="6">
        <v>14</v>
      </c>
      <c r="I200" s="7">
        <v>0</v>
      </c>
      <c r="J200" s="7">
        <v>0</v>
      </c>
      <c r="K200" s="7">
        <v>0</v>
      </c>
      <c r="L200" s="7">
        <v>289.72000000000003</v>
      </c>
      <c r="M200" s="14" t="s">
        <v>172</v>
      </c>
      <c r="N200" s="14"/>
    </row>
    <row r="201" spans="1:14" ht="15" customHeight="1" x14ac:dyDescent="0.2">
      <c r="A201" s="3" t="s">
        <v>188</v>
      </c>
      <c r="B201" s="4">
        <v>15</v>
      </c>
      <c r="C201" s="3" t="s">
        <v>5</v>
      </c>
      <c r="D201" s="3" t="s">
        <v>174</v>
      </c>
      <c r="E201" s="3" t="s">
        <v>254</v>
      </c>
      <c r="F201" s="3" t="s">
        <v>253</v>
      </c>
      <c r="G201" s="5">
        <v>25454.9</v>
      </c>
      <c r="H201" s="4">
        <v>15</v>
      </c>
      <c r="I201" s="5">
        <v>0</v>
      </c>
      <c r="J201" s="5">
        <v>-0.9</v>
      </c>
      <c r="K201" s="5">
        <v>-5.2</v>
      </c>
      <c r="L201" s="5">
        <v>283.62</v>
      </c>
      <c r="M201" s="26"/>
      <c r="N201" s="26"/>
    </row>
    <row r="202" spans="1:14" ht="15" customHeight="1" x14ac:dyDescent="0.2">
      <c r="A202" s="1" t="s">
        <v>189</v>
      </c>
      <c r="B202" s="6">
        <v>16</v>
      </c>
      <c r="C202" s="1" t="s">
        <v>5</v>
      </c>
      <c r="D202" s="1" t="s">
        <v>169</v>
      </c>
      <c r="E202" s="1" t="s">
        <v>252</v>
      </c>
      <c r="F202" s="1" t="s">
        <v>253</v>
      </c>
      <c r="G202" s="7">
        <v>25543.42</v>
      </c>
      <c r="H202" s="6">
        <v>16</v>
      </c>
      <c r="I202" s="7">
        <v>0</v>
      </c>
      <c r="J202" s="7">
        <v>0</v>
      </c>
      <c r="K202" s="7">
        <v>0</v>
      </c>
      <c r="L202" s="7">
        <v>283.62</v>
      </c>
      <c r="M202" s="14" t="s">
        <v>172</v>
      </c>
      <c r="N202" s="14"/>
    </row>
    <row r="203" spans="1:14" ht="15" customHeight="1" x14ac:dyDescent="0.2">
      <c r="A203" s="3" t="s">
        <v>190</v>
      </c>
      <c r="B203" s="4">
        <v>17</v>
      </c>
      <c r="C203" s="3" t="s">
        <v>5</v>
      </c>
      <c r="D203" s="3" t="s">
        <v>174</v>
      </c>
      <c r="E203" s="3" t="s">
        <v>254</v>
      </c>
      <c r="F203" s="3" t="s">
        <v>253</v>
      </c>
      <c r="G203" s="5">
        <v>25434.77</v>
      </c>
      <c r="H203" s="4">
        <v>17</v>
      </c>
      <c r="I203" s="5">
        <v>0</v>
      </c>
      <c r="J203" s="5">
        <v>0</v>
      </c>
      <c r="K203" s="5">
        <v>-10.87</v>
      </c>
      <c r="L203" s="5">
        <v>272.75</v>
      </c>
      <c r="M203" s="26" t="s">
        <v>191</v>
      </c>
      <c r="N203" s="26"/>
    </row>
    <row r="204" spans="1:14" ht="15" customHeight="1" x14ac:dyDescent="0.2">
      <c r="A204" s="1" t="s">
        <v>192</v>
      </c>
      <c r="B204" s="6">
        <v>18</v>
      </c>
      <c r="C204" s="1" t="s">
        <v>5</v>
      </c>
      <c r="D204" s="1" t="s">
        <v>169</v>
      </c>
      <c r="E204" s="1" t="s">
        <v>252</v>
      </c>
      <c r="F204" s="1" t="s">
        <v>253</v>
      </c>
      <c r="G204" s="7">
        <v>25513.1</v>
      </c>
      <c r="H204" s="6">
        <v>18</v>
      </c>
      <c r="I204" s="7">
        <v>0</v>
      </c>
      <c r="J204" s="7">
        <v>0</v>
      </c>
      <c r="K204" s="7">
        <v>0</v>
      </c>
      <c r="L204" s="7">
        <v>272.75</v>
      </c>
      <c r="M204" s="14" t="s">
        <v>172</v>
      </c>
      <c r="N204" s="14"/>
    </row>
    <row r="205" spans="1:14" ht="15" customHeight="1" x14ac:dyDescent="0.2">
      <c r="A205" s="3" t="s">
        <v>193</v>
      </c>
      <c r="B205" s="4">
        <v>19</v>
      </c>
      <c r="C205" s="3" t="s">
        <v>5</v>
      </c>
      <c r="D205" s="3" t="s">
        <v>174</v>
      </c>
      <c r="E205" s="3" t="s">
        <v>254</v>
      </c>
      <c r="F205" s="3" t="s">
        <v>253</v>
      </c>
      <c r="G205" s="5">
        <v>25717.4</v>
      </c>
      <c r="H205" s="4">
        <v>19</v>
      </c>
      <c r="I205" s="5">
        <v>0</v>
      </c>
      <c r="J205" s="5">
        <v>-1.79</v>
      </c>
      <c r="K205" s="5">
        <v>20.43</v>
      </c>
      <c r="L205" s="5">
        <v>291.39</v>
      </c>
      <c r="M205" s="26" t="s">
        <v>194</v>
      </c>
      <c r="N205" s="26"/>
    </row>
    <row r="206" spans="1:14" ht="15" customHeight="1" x14ac:dyDescent="0.2">
      <c r="A206" s="1" t="s">
        <v>195</v>
      </c>
      <c r="B206" s="6">
        <v>20</v>
      </c>
      <c r="C206" s="1" t="s">
        <v>5</v>
      </c>
      <c r="D206" s="1" t="s">
        <v>169</v>
      </c>
      <c r="E206" s="1" t="s">
        <v>252</v>
      </c>
      <c r="F206" s="1" t="s">
        <v>253</v>
      </c>
      <c r="G206" s="7">
        <v>25549.97</v>
      </c>
      <c r="H206" s="6">
        <v>20</v>
      </c>
      <c r="I206" s="7">
        <v>0</v>
      </c>
      <c r="J206" s="7">
        <v>0</v>
      </c>
      <c r="K206" s="7">
        <v>0</v>
      </c>
      <c r="L206" s="7">
        <v>291.39</v>
      </c>
      <c r="M206" s="14" t="s">
        <v>172</v>
      </c>
      <c r="N206" s="14"/>
    </row>
    <row r="207" spans="1:14" ht="15" customHeight="1" x14ac:dyDescent="0.2">
      <c r="A207" s="3" t="s">
        <v>196</v>
      </c>
      <c r="B207" s="4">
        <v>21</v>
      </c>
      <c r="C207" s="3" t="s">
        <v>5</v>
      </c>
      <c r="D207" s="3" t="s">
        <v>174</v>
      </c>
      <c r="E207" s="3" t="s">
        <v>254</v>
      </c>
      <c r="F207" s="3" t="s">
        <v>253</v>
      </c>
      <c r="G207" s="5">
        <v>25792.68</v>
      </c>
      <c r="H207" s="4">
        <v>21</v>
      </c>
      <c r="I207" s="5">
        <v>0</v>
      </c>
      <c r="J207" s="5">
        <v>0</v>
      </c>
      <c r="K207" s="5">
        <v>24.27</v>
      </c>
      <c r="L207" s="5">
        <v>315.66000000000003</v>
      </c>
      <c r="M207" s="26"/>
      <c r="N207" s="26"/>
    </row>
    <row r="208" spans="1:14" ht="15" customHeight="1" x14ac:dyDescent="0.2">
      <c r="A208" s="1" t="s">
        <v>197</v>
      </c>
      <c r="B208" s="6">
        <v>22</v>
      </c>
      <c r="C208" s="1" t="s">
        <v>5</v>
      </c>
      <c r="D208" s="1" t="s">
        <v>169</v>
      </c>
      <c r="E208" s="1" t="s">
        <v>252</v>
      </c>
      <c r="F208" s="1" t="s">
        <v>253</v>
      </c>
      <c r="G208" s="7">
        <v>25710.34</v>
      </c>
      <c r="H208" s="6">
        <v>22</v>
      </c>
      <c r="I208" s="7">
        <v>0</v>
      </c>
      <c r="J208" s="7">
        <v>0</v>
      </c>
      <c r="K208" s="7">
        <v>0</v>
      </c>
      <c r="L208" s="7">
        <v>315.66000000000003</v>
      </c>
      <c r="M208" s="14" t="s">
        <v>172</v>
      </c>
      <c r="N208" s="14"/>
    </row>
    <row r="209" spans="1:14" ht="15" customHeight="1" x14ac:dyDescent="0.2">
      <c r="A209" s="3" t="s">
        <v>198</v>
      </c>
      <c r="B209" s="4">
        <v>23</v>
      </c>
      <c r="C209" s="3" t="s">
        <v>5</v>
      </c>
      <c r="D209" s="3" t="s">
        <v>174</v>
      </c>
      <c r="E209" s="3" t="s">
        <v>254</v>
      </c>
      <c r="F209" s="3" t="s">
        <v>253</v>
      </c>
      <c r="G209" s="5">
        <v>25631.37</v>
      </c>
      <c r="H209" s="4">
        <v>23</v>
      </c>
      <c r="I209" s="5">
        <v>0</v>
      </c>
      <c r="J209" s="5">
        <v>-0.45</v>
      </c>
      <c r="K209" s="5">
        <v>-7.9</v>
      </c>
      <c r="L209" s="5">
        <v>307.31</v>
      </c>
      <c r="M209" s="26"/>
      <c r="N209" s="26"/>
    </row>
    <row r="210" spans="1:14" ht="15" customHeight="1" x14ac:dyDescent="0.2">
      <c r="A210" s="1" t="s">
        <v>199</v>
      </c>
      <c r="B210" s="6">
        <v>24</v>
      </c>
      <c r="C210" s="1" t="s">
        <v>5</v>
      </c>
      <c r="D210" s="1" t="s">
        <v>169</v>
      </c>
      <c r="E210" s="1" t="s">
        <v>252</v>
      </c>
      <c r="F210" s="1" t="s">
        <v>253</v>
      </c>
      <c r="G210" s="7">
        <v>25615.47</v>
      </c>
      <c r="H210" s="6">
        <v>24</v>
      </c>
      <c r="I210" s="7">
        <v>0</v>
      </c>
      <c r="J210" s="7">
        <v>0</v>
      </c>
      <c r="K210" s="7">
        <v>0</v>
      </c>
      <c r="L210" s="7">
        <v>307.31</v>
      </c>
      <c r="M210" s="14" t="s">
        <v>172</v>
      </c>
      <c r="N210" s="14"/>
    </row>
    <row r="211" spans="1:14" ht="15" customHeight="1" x14ac:dyDescent="0.2">
      <c r="A211" s="3" t="s">
        <v>200</v>
      </c>
      <c r="B211" s="4">
        <v>25</v>
      </c>
      <c r="C211" s="3" t="s">
        <v>5</v>
      </c>
      <c r="D211" s="3" t="s">
        <v>174</v>
      </c>
      <c r="E211" s="3" t="s">
        <v>254</v>
      </c>
      <c r="F211" s="3" t="s">
        <v>253</v>
      </c>
      <c r="G211" s="5">
        <v>25479.77</v>
      </c>
      <c r="H211" s="4">
        <v>25</v>
      </c>
      <c r="I211" s="5">
        <v>0</v>
      </c>
      <c r="J211" s="5">
        <v>0</v>
      </c>
      <c r="K211" s="5">
        <v>-13.57</v>
      </c>
      <c r="L211" s="5">
        <v>293.74</v>
      </c>
      <c r="M211" s="26" t="s">
        <v>201</v>
      </c>
      <c r="N211" s="26"/>
    </row>
    <row r="212" spans="1:14" ht="15" customHeight="1" x14ac:dyDescent="0.2">
      <c r="A212" s="1" t="s">
        <v>202</v>
      </c>
      <c r="B212" s="6">
        <v>26</v>
      </c>
      <c r="C212" s="1" t="s">
        <v>5</v>
      </c>
      <c r="D212" s="1" t="s">
        <v>169</v>
      </c>
      <c r="E212" s="1" t="s">
        <v>252</v>
      </c>
      <c r="F212" s="1" t="s">
        <v>253</v>
      </c>
      <c r="G212" s="7">
        <v>25472.25</v>
      </c>
      <c r="H212" s="6">
        <v>26</v>
      </c>
      <c r="I212" s="7">
        <v>0</v>
      </c>
      <c r="J212" s="7">
        <v>0</v>
      </c>
      <c r="K212" s="7">
        <v>0</v>
      </c>
      <c r="L212" s="7">
        <v>293.74</v>
      </c>
      <c r="M212" s="14" t="s">
        <v>172</v>
      </c>
      <c r="N212" s="14"/>
    </row>
    <row r="213" spans="1:14" ht="15" customHeight="1" x14ac:dyDescent="0.2">
      <c r="A213" s="3" t="s">
        <v>203</v>
      </c>
      <c r="B213" s="4">
        <v>27</v>
      </c>
      <c r="C213" s="3" t="s">
        <v>5</v>
      </c>
      <c r="D213" s="3" t="s">
        <v>174</v>
      </c>
      <c r="E213" s="3" t="s">
        <v>254</v>
      </c>
      <c r="F213" s="3" t="s">
        <v>253</v>
      </c>
      <c r="G213" s="5">
        <v>25621.45</v>
      </c>
      <c r="H213" s="4">
        <v>27</v>
      </c>
      <c r="I213" s="5">
        <v>0</v>
      </c>
      <c r="J213" s="5">
        <v>0</v>
      </c>
      <c r="K213" s="5">
        <v>14.92</v>
      </c>
      <c r="L213" s="5">
        <v>308.66000000000003</v>
      </c>
      <c r="M213" s="26" t="s">
        <v>204</v>
      </c>
      <c r="N213" s="26"/>
    </row>
    <row r="214" spans="1:14" ht="15" customHeight="1" x14ac:dyDescent="0.2">
      <c r="A214" s="1" t="s">
        <v>205</v>
      </c>
      <c r="B214" s="6">
        <v>28</v>
      </c>
      <c r="C214" s="1" t="s">
        <v>5</v>
      </c>
      <c r="D214" s="1" t="s">
        <v>169</v>
      </c>
      <c r="E214" s="1" t="s">
        <v>252</v>
      </c>
      <c r="F214" s="1" t="s">
        <v>253</v>
      </c>
      <c r="G214" s="7">
        <v>25458.97</v>
      </c>
      <c r="H214" s="6">
        <v>28</v>
      </c>
      <c r="I214" s="7">
        <v>0</v>
      </c>
      <c r="J214" s="7">
        <v>0</v>
      </c>
      <c r="K214" s="7">
        <v>0</v>
      </c>
      <c r="L214" s="7">
        <v>308.66000000000003</v>
      </c>
      <c r="M214" s="14" t="s">
        <v>172</v>
      </c>
      <c r="N214" s="14"/>
    </row>
    <row r="215" spans="1:14" ht="15" customHeight="1" x14ac:dyDescent="0.2">
      <c r="A215" s="3" t="s">
        <v>206</v>
      </c>
      <c r="B215" s="4">
        <v>29</v>
      </c>
      <c r="C215" s="3" t="s">
        <v>5</v>
      </c>
      <c r="D215" s="3" t="s">
        <v>174</v>
      </c>
      <c r="E215" s="3" t="s">
        <v>254</v>
      </c>
      <c r="F215" s="3" t="s">
        <v>253</v>
      </c>
      <c r="G215" s="5">
        <v>25705.27</v>
      </c>
      <c r="H215" s="4">
        <v>29</v>
      </c>
      <c r="I215" s="5">
        <v>0</v>
      </c>
      <c r="J215" s="5">
        <v>0</v>
      </c>
      <c r="K215" s="5">
        <v>24.63</v>
      </c>
      <c r="L215" s="5">
        <v>333.29</v>
      </c>
      <c r="M215" s="26"/>
      <c r="N215" s="26"/>
    </row>
    <row r="216" spans="1:14" ht="15" customHeight="1" x14ac:dyDescent="0.2">
      <c r="A216" s="1" t="s">
        <v>207</v>
      </c>
      <c r="B216" s="6">
        <v>30</v>
      </c>
      <c r="C216" s="1" t="s">
        <v>5</v>
      </c>
      <c r="D216" s="1" t="s">
        <v>169</v>
      </c>
      <c r="E216" s="1" t="s">
        <v>252</v>
      </c>
      <c r="F216" s="1" t="s">
        <v>253</v>
      </c>
      <c r="G216" s="7">
        <v>26034.61</v>
      </c>
      <c r="H216" s="6">
        <v>30</v>
      </c>
      <c r="I216" s="7">
        <v>0</v>
      </c>
      <c r="J216" s="7">
        <v>0</v>
      </c>
      <c r="K216" s="7">
        <v>0</v>
      </c>
      <c r="L216" s="7">
        <v>333.29</v>
      </c>
      <c r="M216" s="14" t="s">
        <v>172</v>
      </c>
      <c r="N216" s="14"/>
    </row>
    <row r="217" spans="1:14" ht="15" customHeight="1" x14ac:dyDescent="0.2">
      <c r="A217" s="3" t="s">
        <v>208</v>
      </c>
      <c r="B217" s="4">
        <v>31</v>
      </c>
      <c r="C217" s="3" t="s">
        <v>5</v>
      </c>
      <c r="D217" s="3" t="s">
        <v>174</v>
      </c>
      <c r="E217" s="3" t="s">
        <v>254</v>
      </c>
      <c r="F217" s="3" t="s">
        <v>253</v>
      </c>
      <c r="G217" s="5">
        <v>25861.82</v>
      </c>
      <c r="H217" s="4">
        <v>31</v>
      </c>
      <c r="I217" s="5">
        <v>0</v>
      </c>
      <c r="J217" s="5">
        <v>-0.45</v>
      </c>
      <c r="K217" s="5">
        <v>-17.28</v>
      </c>
      <c r="L217" s="5">
        <v>315.56</v>
      </c>
      <c r="M217" s="26" t="s">
        <v>209</v>
      </c>
      <c r="N217" s="26"/>
    </row>
    <row r="218" spans="1:14" ht="15" customHeight="1" x14ac:dyDescent="0.2">
      <c r="A218" s="1" t="s">
        <v>210</v>
      </c>
      <c r="B218" s="6">
        <v>32</v>
      </c>
      <c r="C218" s="1" t="s">
        <v>5</v>
      </c>
      <c r="D218" s="1" t="s">
        <v>169</v>
      </c>
      <c r="E218" s="1" t="s">
        <v>252</v>
      </c>
      <c r="F218" s="1" t="s">
        <v>253</v>
      </c>
      <c r="G218" s="7">
        <v>24997.7</v>
      </c>
      <c r="H218" s="6">
        <v>32</v>
      </c>
      <c r="I218" s="7">
        <v>0</v>
      </c>
      <c r="J218" s="7">
        <v>0</v>
      </c>
      <c r="K218" s="7">
        <v>0</v>
      </c>
      <c r="L218" s="7">
        <v>315.56</v>
      </c>
      <c r="M218" s="14" t="s">
        <v>172</v>
      </c>
      <c r="N218" s="14"/>
    </row>
    <row r="219" spans="1:14" ht="15" customHeight="1" x14ac:dyDescent="0.2">
      <c r="A219" s="3" t="s">
        <v>211</v>
      </c>
      <c r="B219" s="4">
        <v>33</v>
      </c>
      <c r="C219" s="3" t="s">
        <v>5</v>
      </c>
      <c r="D219" s="3" t="s">
        <v>174</v>
      </c>
      <c r="E219" s="3" t="s">
        <v>254</v>
      </c>
      <c r="F219" s="3" t="s">
        <v>253</v>
      </c>
      <c r="G219" s="5">
        <v>24922.75</v>
      </c>
      <c r="H219" s="4">
        <v>33</v>
      </c>
      <c r="I219" s="5">
        <v>0</v>
      </c>
      <c r="J219" s="5">
        <v>0</v>
      </c>
      <c r="K219" s="5">
        <v>-7.5</v>
      </c>
      <c r="L219" s="5">
        <v>308.06</v>
      </c>
      <c r="M219" s="26" t="s">
        <v>212</v>
      </c>
      <c r="N219" s="26"/>
    </row>
    <row r="220" spans="1:14" ht="15" customHeight="1" x14ac:dyDescent="0.2">
      <c r="A220" s="1" t="s">
        <v>213</v>
      </c>
      <c r="B220" s="6">
        <v>34</v>
      </c>
      <c r="C220" s="1" t="s">
        <v>5</v>
      </c>
      <c r="D220" s="1" t="s">
        <v>169</v>
      </c>
      <c r="E220" s="1" t="s">
        <v>252</v>
      </c>
      <c r="F220" s="1" t="s">
        <v>253</v>
      </c>
      <c r="G220" s="7">
        <v>24986.81</v>
      </c>
      <c r="H220" s="6">
        <v>34</v>
      </c>
      <c r="I220" s="7">
        <v>0</v>
      </c>
      <c r="J220" s="7">
        <v>0</v>
      </c>
      <c r="K220" s="7">
        <v>0</v>
      </c>
      <c r="L220" s="7">
        <v>308.06</v>
      </c>
      <c r="M220" s="14" t="s">
        <v>172</v>
      </c>
      <c r="N220" s="14"/>
    </row>
    <row r="221" spans="1:14" ht="15" customHeight="1" x14ac:dyDescent="0.2">
      <c r="A221" s="3" t="s">
        <v>214</v>
      </c>
      <c r="B221" s="4">
        <v>35</v>
      </c>
      <c r="C221" s="3" t="s">
        <v>5</v>
      </c>
      <c r="D221" s="3" t="s">
        <v>174</v>
      </c>
      <c r="E221" s="3" t="s">
        <v>254</v>
      </c>
      <c r="F221" s="3" t="s">
        <v>253</v>
      </c>
      <c r="G221" s="5">
        <v>24820.97</v>
      </c>
      <c r="H221" s="4">
        <v>35</v>
      </c>
      <c r="I221" s="5">
        <v>0</v>
      </c>
      <c r="J221" s="5">
        <v>-0.45</v>
      </c>
      <c r="K221" s="5">
        <v>-16.579999999999998</v>
      </c>
      <c r="L221" s="5">
        <v>291.02999999999997</v>
      </c>
      <c r="M221" s="26"/>
      <c r="N221" s="26"/>
    </row>
    <row r="222" spans="1:14" ht="15" customHeight="1" x14ac:dyDescent="0.2">
      <c r="A222" s="1" t="s">
        <v>215</v>
      </c>
      <c r="B222" s="6">
        <v>36</v>
      </c>
      <c r="C222" s="1" t="s">
        <v>5</v>
      </c>
      <c r="D222" s="1" t="s">
        <v>169</v>
      </c>
      <c r="E222" s="1" t="s">
        <v>252</v>
      </c>
      <c r="F222" s="1" t="s">
        <v>253</v>
      </c>
      <c r="G222" s="7">
        <v>24939.15</v>
      </c>
      <c r="H222" s="6">
        <v>36</v>
      </c>
      <c r="I222" s="7">
        <v>0</v>
      </c>
      <c r="J222" s="7">
        <v>0</v>
      </c>
      <c r="K222" s="7">
        <v>0</v>
      </c>
      <c r="L222" s="7">
        <v>291.02999999999997</v>
      </c>
      <c r="M222" s="14" t="s">
        <v>172</v>
      </c>
      <c r="N222" s="14"/>
    </row>
    <row r="223" spans="1:14" ht="15" customHeight="1" x14ac:dyDescent="0.2">
      <c r="A223" s="3" t="s">
        <v>216</v>
      </c>
      <c r="B223" s="4">
        <v>37</v>
      </c>
      <c r="C223" s="3" t="s">
        <v>5</v>
      </c>
      <c r="D223" s="3" t="s">
        <v>174</v>
      </c>
      <c r="E223" s="3" t="s">
        <v>254</v>
      </c>
      <c r="F223" s="3" t="s">
        <v>253</v>
      </c>
      <c r="G223" s="5">
        <v>24786.77</v>
      </c>
      <c r="H223" s="4">
        <v>37</v>
      </c>
      <c r="I223" s="5">
        <v>0</v>
      </c>
      <c r="J223" s="5">
        <v>-0.45</v>
      </c>
      <c r="K223" s="5">
        <v>-15.24</v>
      </c>
      <c r="L223" s="5">
        <v>275.33999999999997</v>
      </c>
      <c r="M223" s="26"/>
      <c r="N223" s="26"/>
    </row>
    <row r="224" spans="1:14" ht="15" customHeight="1" x14ac:dyDescent="0.2">
      <c r="A224" s="1" t="s">
        <v>217</v>
      </c>
      <c r="B224" s="6">
        <v>38</v>
      </c>
      <c r="C224" s="1" t="s">
        <v>5</v>
      </c>
      <c r="D224" s="1" t="s">
        <v>169</v>
      </c>
      <c r="E224" s="1" t="s">
        <v>252</v>
      </c>
      <c r="F224" s="1" t="s">
        <v>253</v>
      </c>
      <c r="G224" s="7">
        <v>24739.99</v>
      </c>
      <c r="H224" s="6">
        <v>38</v>
      </c>
      <c r="I224" s="7">
        <v>0</v>
      </c>
      <c r="J224" s="7">
        <v>0</v>
      </c>
      <c r="K224" s="7">
        <v>0</v>
      </c>
      <c r="L224" s="7">
        <v>275.33999999999997</v>
      </c>
      <c r="M224" s="14" t="s">
        <v>172</v>
      </c>
      <c r="N224" s="14"/>
    </row>
    <row r="225" spans="1:14" ht="15" customHeight="1" x14ac:dyDescent="0.2">
      <c r="A225" s="3" t="s">
        <v>218</v>
      </c>
      <c r="B225" s="4">
        <v>39</v>
      </c>
      <c r="C225" s="3" t="s">
        <v>5</v>
      </c>
      <c r="D225" s="3" t="s">
        <v>174</v>
      </c>
      <c r="E225" s="3" t="s">
        <v>254</v>
      </c>
      <c r="F225" s="3" t="s">
        <v>253</v>
      </c>
      <c r="G225" s="5">
        <v>24581.65</v>
      </c>
      <c r="H225" s="4">
        <v>39</v>
      </c>
      <c r="I225" s="5">
        <v>0</v>
      </c>
      <c r="J225" s="5">
        <v>0</v>
      </c>
      <c r="K225" s="5">
        <v>-15.83</v>
      </c>
      <c r="L225" s="5">
        <v>259.51</v>
      </c>
      <c r="M225" s="26"/>
      <c r="N225" s="26"/>
    </row>
    <row r="226" spans="1:14" ht="15" customHeight="1" x14ac:dyDescent="0.2">
      <c r="A226" s="1" t="s">
        <v>219</v>
      </c>
      <c r="B226" s="6">
        <v>40</v>
      </c>
      <c r="C226" s="1" t="s">
        <v>5</v>
      </c>
      <c r="D226" s="1" t="s">
        <v>169</v>
      </c>
      <c r="E226" s="1" t="s">
        <v>252</v>
      </c>
      <c r="F226" s="1" t="s">
        <v>253</v>
      </c>
      <c r="G226" s="7">
        <v>23920.85</v>
      </c>
      <c r="H226" s="6">
        <v>40</v>
      </c>
      <c r="I226" s="7">
        <v>0</v>
      </c>
      <c r="J226" s="7">
        <v>0</v>
      </c>
      <c r="K226" s="7">
        <v>0</v>
      </c>
      <c r="L226" s="7">
        <v>259.51</v>
      </c>
      <c r="M226" s="14" t="s">
        <v>172</v>
      </c>
      <c r="N226" s="14"/>
    </row>
    <row r="227" spans="1:14" ht="15" customHeight="1" x14ac:dyDescent="0.2">
      <c r="A227" s="3" t="s">
        <v>220</v>
      </c>
      <c r="B227" s="4">
        <v>41</v>
      </c>
      <c r="C227" s="3" t="s">
        <v>5</v>
      </c>
      <c r="D227" s="3" t="s">
        <v>174</v>
      </c>
      <c r="E227" s="3" t="s">
        <v>254</v>
      </c>
      <c r="F227" s="3" t="s">
        <v>253</v>
      </c>
      <c r="G227" s="5">
        <v>24104.52</v>
      </c>
      <c r="H227" s="4">
        <v>41</v>
      </c>
      <c r="I227" s="5">
        <v>0</v>
      </c>
      <c r="J227" s="5">
        <v>0</v>
      </c>
      <c r="K227" s="5">
        <v>18.37</v>
      </c>
      <c r="L227" s="5">
        <v>277.88</v>
      </c>
      <c r="M227" s="26" t="s">
        <v>221</v>
      </c>
      <c r="N227" s="26"/>
    </row>
    <row r="228" spans="1:14" ht="15" customHeight="1" x14ac:dyDescent="0.2">
      <c r="A228" s="1" t="s">
        <v>222</v>
      </c>
      <c r="B228" s="6">
        <v>42</v>
      </c>
      <c r="C228" s="1" t="s">
        <v>5</v>
      </c>
      <c r="D228" s="1" t="s">
        <v>169</v>
      </c>
      <c r="E228" s="1" t="s">
        <v>252</v>
      </c>
      <c r="F228" s="1" t="s">
        <v>253</v>
      </c>
      <c r="G228" s="7">
        <v>24054.22</v>
      </c>
      <c r="H228" s="6">
        <v>42</v>
      </c>
      <c r="I228" s="7">
        <v>0</v>
      </c>
      <c r="J228" s="7">
        <v>0</v>
      </c>
      <c r="K228" s="7">
        <v>0</v>
      </c>
      <c r="L228" s="7">
        <v>277.88</v>
      </c>
      <c r="M228" s="14" t="s">
        <v>172</v>
      </c>
      <c r="N228" s="14"/>
    </row>
    <row r="229" spans="1:14" ht="15" customHeight="1" x14ac:dyDescent="0.2">
      <c r="A229" s="3" t="s">
        <v>223</v>
      </c>
      <c r="B229" s="4">
        <v>43</v>
      </c>
      <c r="C229" s="3" t="s">
        <v>5</v>
      </c>
      <c r="D229" s="3" t="s">
        <v>174</v>
      </c>
      <c r="E229" s="3" t="s">
        <v>254</v>
      </c>
      <c r="F229" s="3" t="s">
        <v>253</v>
      </c>
      <c r="G229" s="5">
        <v>24211.77</v>
      </c>
      <c r="H229" s="4">
        <v>43</v>
      </c>
      <c r="I229" s="5">
        <v>0</v>
      </c>
      <c r="J229" s="5">
        <v>0</v>
      </c>
      <c r="K229" s="5">
        <v>15.76</v>
      </c>
      <c r="L229" s="5">
        <v>293.64</v>
      </c>
      <c r="M229" s="26" t="s">
        <v>224</v>
      </c>
      <c r="N229" s="26"/>
    </row>
    <row r="230" spans="1:14" ht="15" customHeight="1" x14ac:dyDescent="0.2">
      <c r="A230" s="1" t="s">
        <v>225</v>
      </c>
      <c r="B230" s="6">
        <v>44</v>
      </c>
      <c r="C230" s="1" t="s">
        <v>5</v>
      </c>
      <c r="D230" s="1" t="s">
        <v>169</v>
      </c>
      <c r="E230" s="1" t="s">
        <v>252</v>
      </c>
      <c r="F230" s="1" t="s">
        <v>253</v>
      </c>
      <c r="G230" s="7">
        <v>24053.97</v>
      </c>
      <c r="H230" s="6">
        <v>44</v>
      </c>
      <c r="I230" s="7">
        <v>0</v>
      </c>
      <c r="J230" s="7">
        <v>0</v>
      </c>
      <c r="K230" s="7">
        <v>0</v>
      </c>
      <c r="L230" s="7">
        <v>293.64</v>
      </c>
      <c r="M230" s="14" t="s">
        <v>172</v>
      </c>
      <c r="N230" s="14"/>
    </row>
    <row r="231" spans="1:14" ht="15" customHeight="1" x14ac:dyDescent="0.2">
      <c r="A231" s="3" t="s">
        <v>226</v>
      </c>
      <c r="B231" s="4">
        <v>45</v>
      </c>
      <c r="C231" s="3" t="s">
        <v>5</v>
      </c>
      <c r="D231" s="3" t="s">
        <v>174</v>
      </c>
      <c r="E231" s="3" t="s">
        <v>254</v>
      </c>
      <c r="F231" s="3" t="s">
        <v>253</v>
      </c>
      <c r="G231" s="5">
        <v>24444.57</v>
      </c>
      <c r="H231" s="4">
        <v>45</v>
      </c>
      <c r="I231" s="5">
        <v>0</v>
      </c>
      <c r="J231" s="5">
        <v>-0.45</v>
      </c>
      <c r="K231" s="5">
        <v>39.06</v>
      </c>
      <c r="L231" s="5">
        <v>332.25</v>
      </c>
      <c r="M231" s="26"/>
      <c r="N231" s="26"/>
    </row>
    <row r="232" spans="1:14" ht="15" customHeight="1" x14ac:dyDescent="0.2">
      <c r="A232" s="1" t="s">
        <v>227</v>
      </c>
      <c r="B232" s="6">
        <v>46</v>
      </c>
      <c r="C232" s="1" t="s">
        <v>5</v>
      </c>
      <c r="D232" s="1" t="s">
        <v>169</v>
      </c>
      <c r="E232" s="1" t="s">
        <v>252</v>
      </c>
      <c r="F232" s="1" t="s">
        <v>253</v>
      </c>
      <c r="G232" s="7">
        <v>24842.6</v>
      </c>
      <c r="H232" s="6">
        <v>46</v>
      </c>
      <c r="I232" s="7">
        <v>0</v>
      </c>
      <c r="J232" s="7">
        <v>0</v>
      </c>
      <c r="K232" s="7">
        <v>0</v>
      </c>
      <c r="L232" s="7">
        <v>332.25</v>
      </c>
      <c r="M232" s="14" t="s">
        <v>172</v>
      </c>
      <c r="N232" s="14"/>
    </row>
    <row r="233" spans="1:14" ht="15" customHeight="1" x14ac:dyDescent="0.2">
      <c r="A233" s="3" t="s">
        <v>228</v>
      </c>
      <c r="B233" s="4">
        <v>47</v>
      </c>
      <c r="C233" s="3" t="s">
        <v>5</v>
      </c>
      <c r="D233" s="3" t="s">
        <v>174</v>
      </c>
      <c r="E233" s="3" t="s">
        <v>254</v>
      </c>
      <c r="F233" s="3" t="s">
        <v>253</v>
      </c>
      <c r="G233" s="5">
        <v>25027.65</v>
      </c>
      <c r="H233" s="4">
        <v>47</v>
      </c>
      <c r="I233" s="5">
        <v>0</v>
      </c>
      <c r="J233" s="5">
        <v>0</v>
      </c>
      <c r="K233" s="5">
        <v>18.510000000000002</v>
      </c>
      <c r="L233" s="5">
        <v>350.76</v>
      </c>
      <c r="M233" s="26" t="s">
        <v>229</v>
      </c>
      <c r="N233" s="26"/>
    </row>
    <row r="234" spans="1:14" ht="15" customHeight="1" x14ac:dyDescent="0.2">
      <c r="A234" s="1" t="s">
        <v>230</v>
      </c>
      <c r="B234" s="6">
        <v>48</v>
      </c>
      <c r="C234" s="1" t="s">
        <v>5</v>
      </c>
      <c r="D234" s="1" t="s">
        <v>169</v>
      </c>
      <c r="E234" s="1" t="s">
        <v>252</v>
      </c>
      <c r="F234" s="1" t="s">
        <v>253</v>
      </c>
      <c r="G234" s="7">
        <v>26559.22</v>
      </c>
      <c r="H234" s="6">
        <v>48</v>
      </c>
      <c r="I234" s="7">
        <v>0</v>
      </c>
      <c r="J234" s="7">
        <v>0</v>
      </c>
      <c r="K234" s="7">
        <v>0</v>
      </c>
      <c r="L234" s="7">
        <v>350.76</v>
      </c>
      <c r="M234" s="14" t="s">
        <v>172</v>
      </c>
      <c r="N234" s="14"/>
    </row>
    <row r="235" spans="1:14" ht="15" customHeight="1" x14ac:dyDescent="0.2">
      <c r="A235" s="3" t="s">
        <v>231</v>
      </c>
      <c r="B235" s="4">
        <v>49</v>
      </c>
      <c r="C235" s="3" t="s">
        <v>5</v>
      </c>
      <c r="D235" s="3" t="s">
        <v>174</v>
      </c>
      <c r="E235" s="3" t="s">
        <v>254</v>
      </c>
      <c r="F235" s="3" t="s">
        <v>253</v>
      </c>
      <c r="G235" s="5">
        <v>26717.8</v>
      </c>
      <c r="H235" s="4">
        <v>49</v>
      </c>
      <c r="I235" s="5">
        <v>0</v>
      </c>
      <c r="J235" s="5">
        <v>-0.45</v>
      </c>
      <c r="K235" s="5">
        <v>15.86</v>
      </c>
      <c r="L235" s="5">
        <v>366.17</v>
      </c>
      <c r="M235" s="26" t="s">
        <v>232</v>
      </c>
      <c r="N235" s="26"/>
    </row>
    <row r="236" spans="1:14" ht="15" customHeight="1" x14ac:dyDescent="0.2">
      <c r="A236" s="1" t="s">
        <v>233</v>
      </c>
      <c r="B236" s="6">
        <v>50</v>
      </c>
      <c r="C236" s="1" t="s">
        <v>5</v>
      </c>
      <c r="D236" s="1" t="s">
        <v>169</v>
      </c>
      <c r="E236" s="1" t="s">
        <v>252</v>
      </c>
      <c r="F236" s="1" t="s">
        <v>253</v>
      </c>
      <c r="G236" s="7">
        <v>26795.35</v>
      </c>
      <c r="H236" s="6">
        <v>50</v>
      </c>
      <c r="I236" s="7">
        <v>0</v>
      </c>
      <c r="J236" s="7">
        <v>0</v>
      </c>
      <c r="K236" s="7">
        <v>0</v>
      </c>
      <c r="L236" s="7">
        <v>366.17</v>
      </c>
      <c r="M236" s="14" t="s">
        <v>172</v>
      </c>
      <c r="N236" s="14"/>
    </row>
    <row r="237" spans="1:14" ht="15" customHeight="1" x14ac:dyDescent="0.2">
      <c r="A237" s="3" t="s">
        <v>234</v>
      </c>
      <c r="B237" s="4">
        <v>51</v>
      </c>
      <c r="C237" s="3" t="s">
        <v>5</v>
      </c>
      <c r="D237" s="3" t="s">
        <v>174</v>
      </c>
      <c r="E237" s="3" t="s">
        <v>254</v>
      </c>
      <c r="F237" s="3" t="s">
        <v>253</v>
      </c>
      <c r="G237" s="5">
        <v>26948.560000000001</v>
      </c>
      <c r="H237" s="4">
        <v>51</v>
      </c>
      <c r="I237" s="5">
        <v>0</v>
      </c>
      <c r="J237" s="5">
        <v>0</v>
      </c>
      <c r="K237" s="5">
        <v>15.32</v>
      </c>
      <c r="L237" s="5">
        <v>381.49</v>
      </c>
      <c r="M237" s="26" t="s">
        <v>235</v>
      </c>
      <c r="N237" s="26"/>
    </row>
    <row r="238" spans="1:14" ht="15" customHeight="1" x14ac:dyDescent="0.2">
      <c r="A238" s="1" t="s">
        <v>236</v>
      </c>
      <c r="B238" s="6">
        <v>52</v>
      </c>
      <c r="C238" s="1" t="s">
        <v>5</v>
      </c>
      <c r="D238" s="1" t="s">
        <v>169</v>
      </c>
      <c r="E238" s="1" t="s">
        <v>252</v>
      </c>
      <c r="F238" s="1" t="s">
        <v>253</v>
      </c>
      <c r="G238" s="7">
        <v>26816.94</v>
      </c>
      <c r="H238" s="6">
        <v>52</v>
      </c>
      <c r="I238" s="7">
        <v>0</v>
      </c>
      <c r="J238" s="7">
        <v>0</v>
      </c>
      <c r="K238" s="7">
        <v>0</v>
      </c>
      <c r="L238" s="7">
        <v>381.49</v>
      </c>
      <c r="M238" s="14" t="s">
        <v>172</v>
      </c>
      <c r="N238" s="14"/>
    </row>
    <row r="239" spans="1:14" ht="15" customHeight="1" x14ac:dyDescent="0.2">
      <c r="A239" s="3" t="s">
        <v>237</v>
      </c>
      <c r="B239" s="4">
        <v>53</v>
      </c>
      <c r="C239" s="3" t="s">
        <v>5</v>
      </c>
      <c r="D239" s="3" t="s">
        <v>174</v>
      </c>
      <c r="E239" s="3" t="s">
        <v>254</v>
      </c>
      <c r="F239" s="3" t="s">
        <v>253</v>
      </c>
      <c r="G239" s="5">
        <v>27068.52</v>
      </c>
      <c r="H239" s="4">
        <v>53</v>
      </c>
      <c r="I239" s="5">
        <v>0</v>
      </c>
      <c r="J239" s="5">
        <v>-0.45</v>
      </c>
      <c r="K239" s="5">
        <v>25.16</v>
      </c>
      <c r="L239" s="5">
        <v>406.2</v>
      </c>
      <c r="M239" s="26"/>
      <c r="N239" s="26"/>
    </row>
    <row r="240" spans="1:14" ht="15" customHeight="1" x14ac:dyDescent="0.2">
      <c r="A240" s="1" t="s">
        <v>238</v>
      </c>
      <c r="B240" s="6">
        <v>54</v>
      </c>
      <c r="C240" s="1" t="s">
        <v>5</v>
      </c>
      <c r="D240" s="1" t="s">
        <v>169</v>
      </c>
      <c r="E240" s="1" t="s">
        <v>252</v>
      </c>
      <c r="F240" s="1" t="s">
        <v>253</v>
      </c>
      <c r="G240" s="7">
        <v>27235.21</v>
      </c>
      <c r="H240" s="6">
        <v>54</v>
      </c>
      <c r="I240" s="7">
        <v>0</v>
      </c>
      <c r="J240" s="7">
        <v>0</v>
      </c>
      <c r="K240" s="7">
        <v>0</v>
      </c>
      <c r="L240" s="7">
        <v>406.2</v>
      </c>
      <c r="M240" s="14" t="s">
        <v>172</v>
      </c>
      <c r="N240" s="14"/>
    </row>
    <row r="241" spans="1:14" ht="15" customHeight="1" x14ac:dyDescent="0.2">
      <c r="A241" s="3" t="s">
        <v>239</v>
      </c>
      <c r="B241" s="4">
        <v>55</v>
      </c>
      <c r="C241" s="3" t="s">
        <v>5</v>
      </c>
      <c r="D241" s="3" t="s">
        <v>174</v>
      </c>
      <c r="E241" s="3" t="s">
        <v>254</v>
      </c>
      <c r="F241" s="3" t="s">
        <v>253</v>
      </c>
      <c r="G241" s="5">
        <v>27133.4</v>
      </c>
      <c r="H241" s="4">
        <v>55</v>
      </c>
      <c r="I241" s="5">
        <v>0</v>
      </c>
      <c r="J241" s="5">
        <v>-0.45</v>
      </c>
      <c r="K241" s="5">
        <v>-10.18</v>
      </c>
      <c r="L241" s="5">
        <v>395.57</v>
      </c>
      <c r="M241" s="26"/>
      <c r="N241" s="26"/>
    </row>
    <row r="242" spans="1:14" ht="15" customHeight="1" x14ac:dyDescent="0.2">
      <c r="A242" s="1" t="s">
        <v>240</v>
      </c>
      <c r="B242" s="6">
        <v>56</v>
      </c>
      <c r="C242" s="1" t="s">
        <v>5</v>
      </c>
      <c r="D242" s="1" t="s">
        <v>169</v>
      </c>
      <c r="E242" s="1" t="s">
        <v>252</v>
      </c>
      <c r="F242" s="1" t="s">
        <v>253</v>
      </c>
      <c r="G242" s="7">
        <v>27015.47</v>
      </c>
      <c r="H242" s="6">
        <v>56</v>
      </c>
      <c r="I242" s="7">
        <v>0</v>
      </c>
      <c r="J242" s="7">
        <v>0</v>
      </c>
      <c r="K242" s="7">
        <v>0</v>
      </c>
      <c r="L242" s="7">
        <v>395.57</v>
      </c>
      <c r="M242" s="14" t="s">
        <v>172</v>
      </c>
      <c r="N242" s="14"/>
    </row>
    <row r="243" spans="1:14" ht="15" customHeight="1" x14ac:dyDescent="0.2">
      <c r="A243" s="3" t="s">
        <v>241</v>
      </c>
      <c r="B243" s="4">
        <v>57</v>
      </c>
      <c r="C243" s="3" t="s">
        <v>5</v>
      </c>
      <c r="D243" s="3" t="s">
        <v>174</v>
      </c>
      <c r="E243" s="3" t="s">
        <v>254</v>
      </c>
      <c r="F243" s="3" t="s">
        <v>253</v>
      </c>
      <c r="G243" s="5">
        <v>27012.67</v>
      </c>
      <c r="H243" s="4">
        <v>57</v>
      </c>
      <c r="I243" s="5">
        <v>0</v>
      </c>
      <c r="J243" s="5">
        <v>-0.45</v>
      </c>
      <c r="K243" s="5">
        <v>-0.28000000000000003</v>
      </c>
      <c r="L243" s="5">
        <v>394.84</v>
      </c>
      <c r="M243" s="26" t="s">
        <v>242</v>
      </c>
      <c r="N243" s="26"/>
    </row>
    <row r="244" spans="1:14" ht="20.100000000000001" customHeight="1" x14ac:dyDescent="0.2">
      <c r="A244" s="28"/>
      <c r="B244" s="28"/>
      <c r="C244" s="28"/>
      <c r="D244" s="28"/>
      <c r="E244" s="28"/>
      <c r="F244" s="28"/>
      <c r="G244" s="28"/>
      <c r="H244" s="28"/>
      <c r="I244" s="8">
        <f>SUM(Sheet1!I187:I243)</f>
        <v>0</v>
      </c>
      <c r="J244" s="8">
        <f>SUM(Sheet1!J187:J243)</f>
        <v>-6.7400000000000011</v>
      </c>
      <c r="K244" s="8">
        <v>101.58</v>
      </c>
      <c r="L244" s="8">
        <v>394.84</v>
      </c>
      <c r="M244" s="28"/>
      <c r="N244" s="28"/>
    </row>
  </sheetData>
  <mergeCells count="416">
    <mergeCell ref="M236:N236"/>
    <mergeCell ref="M237:N237"/>
    <mergeCell ref="M238:N238"/>
    <mergeCell ref="M239:N239"/>
    <mergeCell ref="M240:N240"/>
    <mergeCell ref="M241:N241"/>
    <mergeCell ref="M242:N242"/>
    <mergeCell ref="M243:N243"/>
    <mergeCell ref="A244:H244"/>
    <mergeCell ref="M244:N244"/>
    <mergeCell ref="M227:N227"/>
    <mergeCell ref="M228:N228"/>
    <mergeCell ref="M229:N229"/>
    <mergeCell ref="M230:N230"/>
    <mergeCell ref="M231:N231"/>
    <mergeCell ref="M232:N232"/>
    <mergeCell ref="M233:N233"/>
    <mergeCell ref="M234:N234"/>
    <mergeCell ref="M235:N235"/>
    <mergeCell ref="M218:N218"/>
    <mergeCell ref="M219:N219"/>
    <mergeCell ref="M220:N220"/>
    <mergeCell ref="M221:N221"/>
    <mergeCell ref="M222:N222"/>
    <mergeCell ref="M223:N223"/>
    <mergeCell ref="M224:N224"/>
    <mergeCell ref="M225:N225"/>
    <mergeCell ref="M226:N226"/>
    <mergeCell ref="M209:N209"/>
    <mergeCell ref="M210:N210"/>
    <mergeCell ref="M211:N211"/>
    <mergeCell ref="M212:N212"/>
    <mergeCell ref="M213:N213"/>
    <mergeCell ref="M214:N214"/>
    <mergeCell ref="M215:N215"/>
    <mergeCell ref="M216:N216"/>
    <mergeCell ref="M217:N217"/>
    <mergeCell ref="M200:N200"/>
    <mergeCell ref="M201:N201"/>
    <mergeCell ref="M202:N202"/>
    <mergeCell ref="M203:N203"/>
    <mergeCell ref="M204:N204"/>
    <mergeCell ref="M205:N205"/>
    <mergeCell ref="M206:N206"/>
    <mergeCell ref="M207:N207"/>
    <mergeCell ref="M208:N208"/>
    <mergeCell ref="M191:N191"/>
    <mergeCell ref="M192:N192"/>
    <mergeCell ref="M193:N193"/>
    <mergeCell ref="M194:N194"/>
    <mergeCell ref="M195:N195"/>
    <mergeCell ref="M196:N196"/>
    <mergeCell ref="M197:N197"/>
    <mergeCell ref="M198:N198"/>
    <mergeCell ref="M199:N199"/>
    <mergeCell ref="E184:F184"/>
    <mergeCell ref="J184:K184"/>
    <mergeCell ref="M184:N184"/>
    <mergeCell ref="A185:N185"/>
    <mergeCell ref="M186:N186"/>
    <mergeCell ref="M187:N187"/>
    <mergeCell ref="M188:N188"/>
    <mergeCell ref="M189:N189"/>
    <mergeCell ref="M190:N19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78:F178"/>
    <mergeCell ref="J178:K178"/>
    <mergeCell ref="M178:N178"/>
    <mergeCell ref="E179:F179"/>
    <mergeCell ref="J179:K179"/>
    <mergeCell ref="M179:N179"/>
    <mergeCell ref="E180:F180"/>
    <mergeCell ref="J180:K180"/>
    <mergeCell ref="M180:N180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57:F157"/>
    <mergeCell ref="J157:K157"/>
    <mergeCell ref="M157:N157"/>
    <mergeCell ref="E158:F158"/>
    <mergeCell ref="J158:K158"/>
    <mergeCell ref="M158:N158"/>
    <mergeCell ref="E159:F159"/>
    <mergeCell ref="J159:K159"/>
    <mergeCell ref="M159:N159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45:F145"/>
    <mergeCell ref="J145:K145"/>
    <mergeCell ref="M145:N145"/>
    <mergeCell ref="E146:F146"/>
    <mergeCell ref="J146:K146"/>
    <mergeCell ref="M146:N146"/>
    <mergeCell ref="E147:F147"/>
    <mergeCell ref="J147:K147"/>
    <mergeCell ref="M147:N147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04:G104"/>
    <mergeCell ref="H104"/>
    <mergeCell ref="I104:K104"/>
    <mergeCell ref="L104:N104"/>
    <mergeCell ref="A127:N127"/>
    <mergeCell ref="E128:F128"/>
    <mergeCell ref="J128:K128"/>
    <mergeCell ref="M128:N128"/>
    <mergeCell ref="E129:F129"/>
    <mergeCell ref="J129:K129"/>
    <mergeCell ref="M129:N129"/>
    <mergeCell ref="E101:G101"/>
    <mergeCell ref="H101"/>
    <mergeCell ref="I101:K101"/>
    <mergeCell ref="L101:N101"/>
    <mergeCell ref="E102:G102"/>
    <mergeCell ref="H102"/>
    <mergeCell ref="I102:K102"/>
    <mergeCell ref="L102:N102"/>
    <mergeCell ref="E103:G103"/>
    <mergeCell ref="H103"/>
    <mergeCell ref="I103:K103"/>
    <mergeCell ref="L103:N103"/>
    <mergeCell ref="A99:C99"/>
    <mergeCell ref="D99"/>
    <mergeCell ref="E99:G99"/>
    <mergeCell ref="H99"/>
    <mergeCell ref="I99:K99"/>
    <mergeCell ref="L99:N99"/>
    <mergeCell ref="E100:G100"/>
    <mergeCell ref="H100"/>
    <mergeCell ref="I100:K100"/>
    <mergeCell ref="L100:N100"/>
    <mergeCell ref="L95:N95"/>
    <mergeCell ref="A96:C96"/>
    <mergeCell ref="D96"/>
    <mergeCell ref="E96:G96"/>
    <mergeCell ref="H96"/>
    <mergeCell ref="I96:K96"/>
    <mergeCell ref="L96:N96"/>
    <mergeCell ref="A98:C98"/>
    <mergeCell ref="D98"/>
    <mergeCell ref="E98:G98"/>
    <mergeCell ref="H98"/>
    <mergeCell ref="I98:K98"/>
    <mergeCell ref="L98:N98"/>
    <mergeCell ref="A93:C93"/>
    <mergeCell ref="D93"/>
    <mergeCell ref="E93:G93"/>
    <mergeCell ref="H93"/>
    <mergeCell ref="A95:C95"/>
    <mergeCell ref="D95"/>
    <mergeCell ref="E95:G95"/>
    <mergeCell ref="H95"/>
    <mergeCell ref="I95:K95"/>
    <mergeCell ref="A91:C91"/>
    <mergeCell ref="D91"/>
    <mergeCell ref="E91:G91"/>
    <mergeCell ref="H91"/>
    <mergeCell ref="I91:K91"/>
    <mergeCell ref="L91:N91"/>
    <mergeCell ref="A92:C92"/>
    <mergeCell ref="D92"/>
    <mergeCell ref="E92:G92"/>
    <mergeCell ref="H92"/>
    <mergeCell ref="I92:K92"/>
    <mergeCell ref="L92:N92"/>
    <mergeCell ref="A88:C88"/>
    <mergeCell ref="D88"/>
    <mergeCell ref="E88:G88"/>
    <mergeCell ref="H88"/>
    <mergeCell ref="I88:K88"/>
    <mergeCell ref="L88:N88"/>
    <mergeCell ref="A90:C90"/>
    <mergeCell ref="D90"/>
    <mergeCell ref="E90:G90"/>
    <mergeCell ref="H90"/>
    <mergeCell ref="I90:K90"/>
    <mergeCell ref="L90:N90"/>
    <mergeCell ref="A86:C86"/>
    <mergeCell ref="D86"/>
    <mergeCell ref="E86:G86"/>
    <mergeCell ref="H86"/>
    <mergeCell ref="I86:K86"/>
    <mergeCell ref="L86:N86"/>
    <mergeCell ref="A87:C87"/>
    <mergeCell ref="D87"/>
    <mergeCell ref="E87:G87"/>
    <mergeCell ref="H87"/>
    <mergeCell ref="I87:K87"/>
    <mergeCell ref="L87:N87"/>
    <mergeCell ref="A83:N83"/>
    <mergeCell ref="A84:C84"/>
    <mergeCell ref="D84"/>
    <mergeCell ref="A85:C85"/>
    <mergeCell ref="D85"/>
    <mergeCell ref="E85:G85"/>
    <mergeCell ref="H85"/>
    <mergeCell ref="I85:K85"/>
    <mergeCell ref="L85:N85"/>
    <mergeCell ref="D78:N78"/>
    <mergeCell ref="A79:C79"/>
    <mergeCell ref="D79:N79"/>
    <mergeCell ref="A80:C80"/>
    <mergeCell ref="D80:N80"/>
    <mergeCell ref="A81:C81"/>
    <mergeCell ref="D81:N81"/>
    <mergeCell ref="A82:C82"/>
    <mergeCell ref="D82:N82"/>
    <mergeCell ref="D69:N69"/>
    <mergeCell ref="D70:N70"/>
    <mergeCell ref="D71:N71"/>
    <mergeCell ref="D72:N72"/>
    <mergeCell ref="D73:N73"/>
    <mergeCell ref="D74:N74"/>
    <mergeCell ref="D75:N75"/>
    <mergeCell ref="D76:N76"/>
    <mergeCell ref="D77:N77"/>
    <mergeCell ref="D60:N60"/>
    <mergeCell ref="D61:N61"/>
    <mergeCell ref="D62:N62"/>
    <mergeCell ref="D63:N63"/>
    <mergeCell ref="D64:N64"/>
    <mergeCell ref="D65:N65"/>
    <mergeCell ref="D66:N66"/>
    <mergeCell ref="D67:N67"/>
    <mergeCell ref="D68:N68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24:N24"/>
    <mergeCell ref="D25:N25"/>
    <mergeCell ref="D26:N26"/>
    <mergeCell ref="D27:N27"/>
    <mergeCell ref="D28:N28"/>
    <mergeCell ref="D29:N29"/>
    <mergeCell ref="D30:N30"/>
    <mergeCell ref="D31:N31"/>
    <mergeCell ref="D32:N32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A1:N1"/>
    <mergeCell ref="A2:N2"/>
    <mergeCell ref="A3:N3"/>
    <mergeCell ref="A4:C4"/>
    <mergeCell ref="D4:N4"/>
    <mergeCell ref="A5:C5"/>
    <mergeCell ref="D5:N5"/>
    <mergeCell ref="A6:C6"/>
    <mergeCell ref="D6:N6"/>
  </mergeCells>
  <pageMargins left="0.7" right="0.7" top="0.7" bottom="0.7" header="0.3" footer="0.3"/>
  <pageSetup paperSize="9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316968216:Demo Account</dc:subject>
  <dc:creator>XM Global Limited</dc:creator>
  <dc:description>Trade report contains current client positions and exposure</dc:description>
  <cp:lastModifiedBy>Tanapong Srikaew</cp:lastModifiedBy>
  <dcterms:created xsi:type="dcterms:W3CDTF">2026-07-25T08:42:00Z</dcterms:created>
  <dcterms:modified xsi:type="dcterms:W3CDTF">2026-09-11T08:19:45Z</dcterms:modified>
  <cp:category>Reports</cp:category>
</cp:coreProperties>
</file>