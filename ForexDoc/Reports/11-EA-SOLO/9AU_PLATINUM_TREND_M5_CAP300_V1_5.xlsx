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11 EA SOLO/"/>
    </mc:Choice>
  </mc:AlternateContent>
  <xr:revisionPtr revIDLastSave="1" documentId="13_ncr:1_{977BC864-20B6-4707-9425-4C371D694DE4}" xr6:coauthVersionLast="47" xr6:coauthVersionMax="47" xr10:uidLastSave="{DF95D7F1-3CB0-4E0B-80DD-E53289802F36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9" i="1" l="1"/>
  <c r="I269" i="1"/>
</calcChain>
</file>

<file path=xl/sharedStrings.xml><?xml version="1.0" encoding="utf-8"?>
<sst xmlns="http://schemas.openxmlformats.org/spreadsheetml/2006/main" count="1106" uniqueCount="271">
  <si>
    <t>Strategy Tester Report</t>
  </si>
  <si>
    <t>XMGlobal-MT5 7 (Build 5836)</t>
  </si>
  <si>
    <t>Settings</t>
  </si>
  <si>
    <t>Expert:</t>
  </si>
  <si>
    <t>Symbol:</t>
  </si>
  <si>
    <t>XPTUSD#</t>
  </si>
  <si>
    <t>Period:</t>
  </si>
  <si>
    <t>M5 (2025.06.01 - 2026.04.30)</t>
  </si>
  <si>
    <t>Inputs:</t>
  </si>
  <si>
    <t>InpMagicNumber=919292</t>
  </si>
  <si>
    <t>=== Step A: Filter ====</t>
  </si>
  <si>
    <t>InpTrendEMA=0</t>
  </si>
  <si>
    <t>InpFilterTF=30</t>
  </si>
  <si>
    <t>InpRSIPeriod=14</t>
  </si>
  <si>
    <t>InpRSIUpperLevel=75.0</t>
  </si>
  <si>
    <t>InpRSILowerLevel=25.0</t>
  </si>
  <si>
    <t>=== Silver RSI Pro Filter ====</t>
  </si>
  <si>
    <t>InpRSIPeriodH1=14</t>
  </si>
  <si>
    <t>InpRSILowerLevelH1=40.0</t>
  </si>
  <si>
    <t>InpRSIUpperLevelH1=60.0</t>
  </si>
  <si>
    <t>InpUseDualTF=true</t>
  </si>
  <si>
    <t>=== Step B: Grid &amp; Lot ====</t>
  </si>
  <si>
    <t>InpEnableDynamicGrid=true</t>
  </si>
  <si>
    <t>InpATRPeriod=14</t>
  </si>
  <si>
    <t>InpATRMultiplier=4.5</t>
  </si>
  <si>
    <t>InpFixedLot=0.1</t>
  </si>
  <si>
    <t>InpGridDistWidenStep=0.15</t>
  </si>
  <si>
    <t>InpGridDistMaxWiden=1.0</t>
  </si>
  <si>
    <t>InpMaxBasketLot=0.3</t>
  </si>
  <si>
    <t>InpMaxOrders=3</t>
  </si>
  <si>
    <t>InpUseDynamicLot=false</t>
  </si>
  <si>
    <t>InpRiskPercent=1.0</t>
  </si>
  <si>
    <t>=== Step C: Profit &amp; Exit ====</t>
  </si>
  <si>
    <t>InpBasketTP=18.0</t>
  </si>
  <si>
    <t>InpEnablePartialClose=false</t>
  </si>
  <si>
    <t>InpPartialCloseLevel=0.5</t>
  </si>
  <si>
    <t>InpHardSLMultiplier=9.0</t>
  </si>
  <si>
    <t>InpMinHoldBars=12</t>
  </si>
  <si>
    <t>=== Step D: News Filter ====</t>
  </si>
  <si>
    <t>EnableNewsFilter=true</t>
  </si>
  <si>
    <t>NewsBeforeMinutes=60</t>
  </si>
  <si>
    <t>NewsAfterMinutes=60</t>
  </si>
  <si>
    <t>NewsHighImpactOnly=true</t>
  </si>
  <si>
    <t>=== Step E: Safety &amp; Protection ====</t>
  </si>
  <si>
    <t>InpEnableEquityStop=true</t>
  </si>
  <si>
    <t>InpMaxDrawdownPercent=30.0</t>
  </si>
  <si>
    <t>InpTrailStartUSD=8.0</t>
  </si>
  <si>
    <t>InpTrailStepATR=2.0</t>
  </si>
  <si>
    <t>InpMaxHoldDays=60</t>
  </si>
  <si>
    <t>InpMinATRThreshold=0.02</t>
  </si>
  <si>
    <t>InpMaxSpreadBase=450.0</t>
  </si>
  <si>
    <t>InpMaxSpreadHighVol=500.0</t>
  </si>
  <si>
    <t>InpMaxExposurePercent=20.0</t>
  </si>
  <si>
    <t>InpMinMarginLevel=700.0</t>
  </si>
  <si>
    <t>=== Step F: Time Filter ====</t>
  </si>
  <si>
    <t>EnableTimeFilter=true</t>
  </si>
  <si>
    <t>TradingStartHour=13</t>
  </si>
  <si>
    <t>TradingEndHour=23</t>
  </si>
  <si>
    <t>StopFridayAfterClose=true</t>
  </si>
  <si>
    <t>FridayCloseHour=18</t>
  </si>
  <si>
    <t>=== Step G: Daily Loss Limit ====</t>
  </si>
  <si>
    <t>EnableDailyLossLimit=true</t>
  </si>
  <si>
    <t>MaxDailyLossPercent=4.5</t>
  </si>
  <si>
    <t>=== Step H: Telegram Notify ====</t>
  </si>
  <si>
    <t>InpEnableTelegram=true</t>
  </si>
  <si>
    <t>InpToken=8663985469:AAGo473sGCgrWBhKNFLz6p-LGe86ftDvxZE</t>
  </si>
  <si>
    <t>InpChatID=8053031320</t>
  </si>
  <si>
    <t>InpTelegramDDAlert=15.0</t>
  </si>
  <si>
    <t>InpEnable2xAlert=true</t>
  </si>
  <si>
    <t>InpBaseBalance=300.0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</si>
  <si>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</si>
  <si>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</si>
  <si>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</si>
  <si>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</si>
  <si>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</si>
  <si>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</si>
  <si>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</si>
  <si>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</si>
  <si>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</si>
  <si>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</si>
  <si>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</si>
  <si>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</si>
  <si>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</si>
  <si>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</si>
  <si>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</si>
  <si>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</si>
  <si>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</si>
  <si>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</si>
  <si>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326.14 (18.24%)</t>
  </si>
  <si>
    <t>Equity Drawdown Maximal:</t>
  </si>
  <si>
    <t>610.06 (29.83%)</t>
  </si>
  <si>
    <t>Gross Loss:</t>
  </si>
  <si>
    <t>Balance Drawdown Relative:</t>
  </si>
  <si>
    <t>18.24% (326.14)</t>
  </si>
  <si>
    <t>Equity Drawdown Relative:</t>
  </si>
  <si>
    <t>29.83% (610.06)</t>
  </si>
  <si>
    <t>Profit Factor:</t>
  </si>
  <si>
    <t>Expected Payoff:</t>
  </si>
  <si>
    <t>Margin Level:</t>
  </si>
  <si>
    <t>28485.58%</t>
  </si>
  <si>
    <t>Recovery Factor:</t>
  </si>
  <si>
    <t>Sharpe Ratio:</t>
  </si>
  <si>
    <t>Z-Score:</t>
  </si>
  <si>
    <t>0.38 (29.61%)</t>
  </si>
  <si>
    <t>AHPR:</t>
  </si>
  <si>
    <t>1.0577 (5.77%)</t>
  </si>
  <si>
    <t>LR Correlation:</t>
  </si>
  <si>
    <t>OnTester result:</t>
  </si>
  <si>
    <t>0</t>
  </si>
  <si>
    <t>GHPR:</t>
  </si>
  <si>
    <t>1.0453 (4.53%)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</si>
  <si>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</si>
  <si>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</si>
  <si>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</si>
  <si>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</si>
  <si>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</si>
  <si>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1:48:39</t>
  </si>
  <si>
    <t>Maximal position holding time:</t>
  </si>
  <si>
    <t>409:30:00</t>
  </si>
  <si>
    <t>Average position holding time:</t>
  </si>
  <si>
    <t>107:32:50</t>
  </si>
  <si>
    <t>Total Trades:</t>
  </si>
  <si>
    <t>Short Trades (won %):</t>
  </si>
  <si>
    <t>0 (0.00%)</t>
  </si>
  <si>
    <t>Long Trades (won %):</t>
  </si>
  <si>
    <t>37 (45.95%)</t>
  </si>
  <si>
    <t>Total Deals:</t>
  </si>
  <si>
    <t>Profit Trades (% of total):</t>
  </si>
  <si>
    <t>17 (45.95%)</t>
  </si>
  <si>
    <t>Loss Trades (% of total):</t>
  </si>
  <si>
    <t>20 (54.05%)</t>
  </si>
  <si>
    <t>Largest profit trade:</t>
  </si>
  <si>
    <t>Largest loss trade:</t>
  </si>
  <si>
    <t>Average profit trade:</t>
  </si>
  <si>
    <t>Average loss trade:</t>
  </si>
  <si>
    <t>Maximum consecutive wins ($):</t>
  </si>
  <si>
    <t>2 (734.06)</t>
  </si>
  <si>
    <t>Maximum consecutive losses ($):</t>
  </si>
  <si>
    <t>5 (-220.38)</t>
  </si>
  <si>
    <t>Maximal consecutive profit (count):</t>
  </si>
  <si>
    <t>734.06 (2)</t>
  </si>
  <si>
    <t>Maximal consecutive loss (count):</t>
  </si>
  <si>
    <t>-326.14 (2)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</si>
  <si>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</si>
  <si>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</si>
  <si>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</si>
  <si>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</si>
  <si>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</si>
  <si>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</si>
  <si>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</si>
  <si>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</si>
  <si>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</si>
  <si>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</si>
  <si>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</si>
  <si>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</si>
  <si>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</si>
  <si>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</si>
  <si>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2025.06.02 13:15:00</t>
  </si>
  <si>
    <t>buy</t>
  </si>
  <si>
    <t>0.1 / 0.1</t>
  </si>
  <si>
    <t>filled</t>
  </si>
  <si>
    <t>9AU_XPTUSD Sniper</t>
  </si>
  <si>
    <t>2025.06.13 13:40:01</t>
  </si>
  <si>
    <t>sell</t>
  </si>
  <si>
    <t>2025.06.13 15:55:01</t>
  </si>
  <si>
    <t>2025.06.19 15:25:00</t>
  </si>
  <si>
    <t>2025.06.19 15:30:00</t>
  </si>
  <si>
    <t>2025.06.23 01:10:27</t>
  </si>
  <si>
    <t>sl 1243.01</t>
  </si>
  <si>
    <t>2025.06.30 17:05:00</t>
  </si>
  <si>
    <t>2025.07.03 13:00:00</t>
  </si>
  <si>
    <t>2025.07.14 16:00:00</t>
  </si>
  <si>
    <t>2025.07.23 15:35:00</t>
  </si>
  <si>
    <t>2025.07.23 15:40:00</t>
  </si>
  <si>
    <t>2025.07.24 11:06:46</t>
  </si>
  <si>
    <t>sl 1425.57</t>
  </si>
  <si>
    <t>2025.07.28 16:55:00</t>
  </si>
  <si>
    <t>2025.07.30 18:20:19</t>
  </si>
  <si>
    <t>sl 1374.78</t>
  </si>
  <si>
    <t>2025.08.15 13:50:01</t>
  </si>
  <si>
    <t>2025.08.19 18:01:09</t>
  </si>
  <si>
    <t>sl 1318.76</t>
  </si>
  <si>
    <t>2025.08.22 14:40:01</t>
  </si>
  <si>
    <t>2025.09.02 15:35:00</t>
  </si>
  <si>
    <t>2025.09.02 15:40:00</t>
  </si>
  <si>
    <t>2025.09.04 15:00:37</t>
  </si>
  <si>
    <t>sl 1399.76</t>
  </si>
  <si>
    <t>2025.09.04 15:35:00</t>
  </si>
  <si>
    <t>2025.09.04 17:23:39</t>
  </si>
  <si>
    <t>sl 1369.15</t>
  </si>
  <si>
    <t>2025.09.09 16:05:00</t>
  </si>
  <si>
    <t>2025.10.02 17:35:00</t>
  </si>
  <si>
    <t>2025.10.02 17:40:00</t>
  </si>
  <si>
    <t>2025.10.09 19:40:00</t>
  </si>
  <si>
    <t>2025.10.09 19:55:00</t>
  </si>
  <si>
    <t>2025.10.20 03:04:35</t>
  </si>
  <si>
    <t>sl 1594.65</t>
  </si>
  <si>
    <t>2025.10.21 16:55:00</t>
  </si>
  <si>
    <t>2025.10.30 15:00:00</t>
  </si>
  <si>
    <t>2025.11.03 17:30:00</t>
  </si>
  <si>
    <t>2025.11.04 16:33:58</t>
  </si>
  <si>
    <t>sl 1528.26</t>
  </si>
  <si>
    <t>2025.11.06 18:25:00</t>
  </si>
  <si>
    <t>2025.11.13 20:35:00</t>
  </si>
  <si>
    <t>2025.11.13 20:40:00</t>
  </si>
  <si>
    <t>2025.11.14 15:15:34</t>
  </si>
  <si>
    <t>sl 1540.88</t>
  </si>
  <si>
    <t>2025.11.17 21:45:00</t>
  </si>
  <si>
    <t>2025.11.20 19:44:06</t>
  </si>
  <si>
    <t>sl 1502.52</t>
  </si>
  <si>
    <t>2025.11.20 19:45:00</t>
  </si>
  <si>
    <t>2025.12.10 17:10:03</t>
  </si>
  <si>
    <t>2025.12.10 17:15:00</t>
  </si>
  <si>
    <t>2025.12.24 17:00:00</t>
  </si>
  <si>
    <t>2025.12.24 17:10:00</t>
  </si>
  <si>
    <t>2025.12.29 17:53:43</t>
  </si>
  <si>
    <t>sl 2092.06</t>
  </si>
  <si>
    <t>2026.01.08 14:15:00</t>
  </si>
  <si>
    <t>2026.01.16 15:10:00</t>
  </si>
  <si>
    <t>2026.01.16 15:25:00</t>
  </si>
  <si>
    <t>2026.01.26 21:50:00</t>
  </si>
  <si>
    <t>2026.01.26 21:55:00</t>
  </si>
  <si>
    <t>2026.01.30 04:21:38</t>
  </si>
  <si>
    <t>sl 2419.77</t>
  </si>
  <si>
    <t>2026.02.05 14:45:00</t>
  </si>
  <si>
    <t>2026.02.06 02:02:38</t>
  </si>
  <si>
    <t>sl 1869.13</t>
  </si>
  <si>
    <t>2026.02.12 18:50:00</t>
  </si>
  <si>
    <t>2026.02.26 17:20:00</t>
  </si>
  <si>
    <t>2026.02.26 17:25:00</t>
  </si>
  <si>
    <t>2026.03.03 12:50:26</t>
  </si>
  <si>
    <t>sl 2101.92</t>
  </si>
  <si>
    <t>2026.03.12 22:25:00</t>
  </si>
  <si>
    <t>2026.03.13 08:45:53</t>
  </si>
  <si>
    <t>sl 2086.12</t>
  </si>
  <si>
    <t>2026.03.13 16:20:00</t>
  </si>
  <si>
    <t>2026.03.19 08:32:02</t>
  </si>
  <si>
    <t>sl 1957.57</t>
  </si>
  <si>
    <t>2026.03.26 20:30:00</t>
  </si>
  <si>
    <t>2026.03.27 14:03:14</t>
  </si>
  <si>
    <t>sl 1795.72</t>
  </si>
  <si>
    <t>2026.03.27 14:10:01</t>
  </si>
  <si>
    <t>2026.04.16 16:55:00</t>
  </si>
  <si>
    <t>2026.04.16 17:00:00</t>
  </si>
  <si>
    <t>2026.04.21 18:00:36</t>
  </si>
  <si>
    <t>sl 2018.96</t>
  </si>
  <si>
    <t>2026.04.21 18:05:00</t>
  </si>
  <si>
    <t>2026.04.24 06:14:26</t>
  </si>
  <si>
    <t>sl 1959.95</t>
  </si>
  <si>
    <t>2026.04.27 15:55:00</t>
  </si>
  <si>
    <t>2026.04.28 08:35:12</t>
  </si>
  <si>
    <t>sl 1940.80</t>
  </si>
  <si>
    <t>2026.04.28 13:00:00</t>
  </si>
  <si>
    <t>2026.04.29 16:45:08</t>
  </si>
  <si>
    <t>sl 1862.46</t>
  </si>
  <si>
    <t>2026.04.29 16:50:00</t>
  </si>
  <si>
    <t>2026.04.29 23:58:58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</si>
  <si>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</si>
  <si>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</si>
  <si>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</si>
  <si>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</si>
  <si>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</si>
  <si>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</si>
  <si>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</si>
  <si>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</si>
  <si>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2025.06.01 00:00:00</t>
  </si>
  <si>
    <t>balance</t>
  </si>
  <si>
    <t>in</t>
  </si>
  <si>
    <t>0.1</t>
  </si>
  <si>
    <t>out</t>
  </si>
  <si>
    <t>9AU_PLATINUM_TREND_M5_CAP300_V1_5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</si>
</sst>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Sheet1!$A$194:$A$268</c:f>
              <c:strCache>
                <c:ptCount val="75"/>
                <c:pt idx="0">
                  <c:v>2025.06.01 00:00:00</c:v>
                </c:pt>
                <c:pt idx="1">
                  <c:v>2025.06.02 13:15:00</c:v>
                </c:pt>
                <c:pt idx="2">
                  <c:v>2025.06.13 13:40:01</c:v>
                </c:pt>
                <c:pt idx="3">
                  <c:v>2025.06.13 15:55:01</c:v>
                </c:pt>
                <c:pt idx="4">
                  <c:v>2025.06.19 15:25:00</c:v>
                </c:pt>
                <c:pt idx="5">
                  <c:v>2025.06.19 15:30:00</c:v>
                </c:pt>
                <c:pt idx="6">
                  <c:v>2025.06.23 01:10:27</c:v>
                </c:pt>
                <c:pt idx="7">
                  <c:v>2025.06.30 17:05:00</c:v>
                </c:pt>
                <c:pt idx="8">
                  <c:v>2025.07.03 13:00:00</c:v>
                </c:pt>
                <c:pt idx="9">
                  <c:v>2025.07.14 16:00:00</c:v>
                </c:pt>
                <c:pt idx="10">
                  <c:v>2025.07.23 15:35:00</c:v>
                </c:pt>
                <c:pt idx="11">
                  <c:v>2025.07.23 15:40:00</c:v>
                </c:pt>
                <c:pt idx="12">
                  <c:v>2025.07.24 11:06:46</c:v>
                </c:pt>
                <c:pt idx="13">
                  <c:v>2025.07.28 16:55:00</c:v>
                </c:pt>
                <c:pt idx="14">
                  <c:v>2025.07.30 18:20:19</c:v>
                </c:pt>
                <c:pt idx="15">
                  <c:v>2025.08.15 13:50:01</c:v>
                </c:pt>
                <c:pt idx="16">
                  <c:v>2025.08.19 18:01:09</c:v>
                </c:pt>
                <c:pt idx="17">
                  <c:v>2025.08.22 14:40:01</c:v>
                </c:pt>
                <c:pt idx="18">
                  <c:v>2025.09.02 15:35:00</c:v>
                </c:pt>
                <c:pt idx="19">
                  <c:v>2025.09.02 15:40:00</c:v>
                </c:pt>
                <c:pt idx="20">
                  <c:v>2025.09.04 15:00:37</c:v>
                </c:pt>
                <c:pt idx="21">
                  <c:v>2025.09.04 15:35:00</c:v>
                </c:pt>
                <c:pt idx="22">
                  <c:v>2025.09.04 17:23:39</c:v>
                </c:pt>
                <c:pt idx="23">
                  <c:v>2025.09.09 16:05:00</c:v>
                </c:pt>
                <c:pt idx="24">
                  <c:v>2025.10.02 17:35:00</c:v>
                </c:pt>
                <c:pt idx="25">
                  <c:v>2025.10.02 17:40:00</c:v>
                </c:pt>
                <c:pt idx="26">
                  <c:v>2025.10.09 19:40:00</c:v>
                </c:pt>
                <c:pt idx="27">
                  <c:v>2025.10.09 19:55:00</c:v>
                </c:pt>
                <c:pt idx="28">
                  <c:v>2025.10.20 03:04:35</c:v>
                </c:pt>
                <c:pt idx="29">
                  <c:v>2025.10.21 16:55:00</c:v>
                </c:pt>
                <c:pt idx="30">
                  <c:v>2025.10.30 15:00:00</c:v>
                </c:pt>
                <c:pt idx="31">
                  <c:v>2025.11.03 17:30:00</c:v>
                </c:pt>
                <c:pt idx="32">
                  <c:v>2025.11.04 16:33:58</c:v>
                </c:pt>
                <c:pt idx="33">
                  <c:v>2025.11.06 18:25:00</c:v>
                </c:pt>
                <c:pt idx="34">
                  <c:v>2025.11.13 20:35:00</c:v>
                </c:pt>
                <c:pt idx="35">
                  <c:v>2025.11.13 20:40:00</c:v>
                </c:pt>
                <c:pt idx="36">
                  <c:v>2025.11.14 15:15:34</c:v>
                </c:pt>
                <c:pt idx="37">
                  <c:v>2025.11.17 21:45:00</c:v>
                </c:pt>
                <c:pt idx="38">
                  <c:v>2025.11.20 19:44:06</c:v>
                </c:pt>
                <c:pt idx="39">
                  <c:v>2025.11.20 19:45:00</c:v>
                </c:pt>
                <c:pt idx="40">
                  <c:v>2025.12.10 17:10:03</c:v>
                </c:pt>
                <c:pt idx="41">
                  <c:v>2025.12.10 17:15:00</c:v>
                </c:pt>
                <c:pt idx="42">
                  <c:v>2025.12.24 17:00:00</c:v>
                </c:pt>
                <c:pt idx="43">
                  <c:v>2025.12.24 17:10:00</c:v>
                </c:pt>
                <c:pt idx="44">
                  <c:v>2025.12.29 17:53:43</c:v>
                </c:pt>
                <c:pt idx="45">
                  <c:v>2026.01.08 14:15:00</c:v>
                </c:pt>
                <c:pt idx="46">
                  <c:v>2026.01.16 15:10:00</c:v>
                </c:pt>
                <c:pt idx="47">
                  <c:v>2026.01.16 15:25:00</c:v>
                </c:pt>
                <c:pt idx="48">
                  <c:v>2026.01.26 21:50:00</c:v>
                </c:pt>
                <c:pt idx="49">
                  <c:v>2026.01.26 21:55:00</c:v>
                </c:pt>
                <c:pt idx="50">
                  <c:v>2026.01.30 04:21:38</c:v>
                </c:pt>
                <c:pt idx="51">
                  <c:v>2026.02.05 14:45:00</c:v>
                </c:pt>
                <c:pt idx="52">
                  <c:v>2026.02.06 02:02:38</c:v>
                </c:pt>
                <c:pt idx="53">
                  <c:v>2026.02.12 18:50:00</c:v>
                </c:pt>
                <c:pt idx="54">
                  <c:v>2026.02.26 17:20:00</c:v>
                </c:pt>
                <c:pt idx="55">
                  <c:v>2026.02.26 17:25:00</c:v>
                </c:pt>
                <c:pt idx="56">
                  <c:v>2026.03.03 12:50:26</c:v>
                </c:pt>
                <c:pt idx="57">
                  <c:v>2026.03.12 22:25:00</c:v>
                </c:pt>
                <c:pt idx="58">
                  <c:v>2026.03.13 08:45:53</c:v>
                </c:pt>
                <c:pt idx="59">
                  <c:v>2026.03.13 16:20:00</c:v>
                </c:pt>
                <c:pt idx="60">
                  <c:v>2026.03.19 08:32:02</c:v>
                </c:pt>
                <c:pt idx="61">
                  <c:v>2026.03.26 20:30:00</c:v>
                </c:pt>
                <c:pt idx="62">
                  <c:v>2026.03.27 14:03:14</c:v>
                </c:pt>
                <c:pt idx="63">
                  <c:v>2026.03.27 14:10:01</c:v>
                </c:pt>
                <c:pt idx="64">
                  <c:v>2026.04.16 16:55:00</c:v>
                </c:pt>
                <c:pt idx="65">
                  <c:v>2026.04.16 17:00:00</c:v>
                </c:pt>
                <c:pt idx="66">
                  <c:v>2026.04.21 18:00:36</c:v>
                </c:pt>
                <c:pt idx="67">
                  <c:v>2026.04.21 18:05:00</c:v>
                </c:pt>
                <c:pt idx="68">
                  <c:v>2026.04.24 06:14:26</c:v>
                </c:pt>
                <c:pt idx="69">
                  <c:v>2026.04.27 15:55:00</c:v>
                </c:pt>
                <c:pt idx="70">
                  <c:v>2026.04.28 08:35:12</c:v>
                </c:pt>
                <c:pt idx="71">
                  <c:v>2026.04.28 13:00:00</c:v>
                </c:pt>
                <c:pt idx="72">
                  <c:v>2026.04.29 16:45:08</c:v>
                </c:pt>
                <c:pt idx="73">
                  <c:v>2026.04.29 16:50:00</c:v>
                </c:pt>
                <c:pt idx="74">
                  <c:v>2026.04.29 23:58:58</c:v>
                </c:pt>
              </c:strCache>
            </c:strRef>
          </c:cat>
          <c:val>
            <c:numRef>
              <c:f>Sheet1!$L$194:$L$268</c:f>
              <c:numCache>
                <c:formatCode>#\ ##0.00;\-#\ ##0.00;0.00;</c:formatCode>
                <c:ptCount val="75"/>
                <c:pt idx="0">
                  <c:v>300</c:v>
                </c:pt>
                <c:pt idx="1">
                  <c:v>300</c:v>
                </c:pt>
                <c:pt idx="2">
                  <c:v>484.75</c:v>
                </c:pt>
                <c:pt idx="3">
                  <c:v>484.75</c:v>
                </c:pt>
                <c:pt idx="4">
                  <c:v>536.02</c:v>
                </c:pt>
                <c:pt idx="5">
                  <c:v>536.02</c:v>
                </c:pt>
                <c:pt idx="6">
                  <c:v>498.58</c:v>
                </c:pt>
                <c:pt idx="7">
                  <c:v>498.58</c:v>
                </c:pt>
                <c:pt idx="8">
                  <c:v>535.64</c:v>
                </c:pt>
                <c:pt idx="9">
                  <c:v>535.64</c:v>
                </c:pt>
                <c:pt idx="10">
                  <c:v>562.51</c:v>
                </c:pt>
                <c:pt idx="11">
                  <c:v>562.51</c:v>
                </c:pt>
                <c:pt idx="12">
                  <c:v>532.54999999999995</c:v>
                </c:pt>
                <c:pt idx="13">
                  <c:v>532.54999999999995</c:v>
                </c:pt>
                <c:pt idx="14">
                  <c:v>494.21</c:v>
                </c:pt>
                <c:pt idx="15">
                  <c:v>494.21</c:v>
                </c:pt>
                <c:pt idx="16">
                  <c:v>469.77</c:v>
                </c:pt>
                <c:pt idx="17">
                  <c:v>469.77</c:v>
                </c:pt>
                <c:pt idx="18">
                  <c:v>525.62</c:v>
                </c:pt>
                <c:pt idx="19">
                  <c:v>525.62</c:v>
                </c:pt>
                <c:pt idx="20">
                  <c:v>537.98</c:v>
                </c:pt>
                <c:pt idx="21">
                  <c:v>537.98</c:v>
                </c:pt>
                <c:pt idx="22">
                  <c:v>510.26</c:v>
                </c:pt>
                <c:pt idx="23">
                  <c:v>510.26</c:v>
                </c:pt>
                <c:pt idx="24">
                  <c:v>705.82</c:v>
                </c:pt>
                <c:pt idx="25">
                  <c:v>705.82</c:v>
                </c:pt>
                <c:pt idx="26">
                  <c:v>794.01</c:v>
                </c:pt>
                <c:pt idx="27">
                  <c:v>794.01</c:v>
                </c:pt>
                <c:pt idx="28">
                  <c:v>734.55</c:v>
                </c:pt>
                <c:pt idx="29">
                  <c:v>734.55</c:v>
                </c:pt>
                <c:pt idx="30">
                  <c:v>774.74</c:v>
                </c:pt>
                <c:pt idx="31">
                  <c:v>774.74</c:v>
                </c:pt>
                <c:pt idx="32">
                  <c:v>735.06</c:v>
                </c:pt>
                <c:pt idx="33">
                  <c:v>735.06</c:v>
                </c:pt>
                <c:pt idx="34">
                  <c:v>802.36</c:v>
                </c:pt>
                <c:pt idx="35">
                  <c:v>802.36</c:v>
                </c:pt>
                <c:pt idx="36">
                  <c:v>763.06</c:v>
                </c:pt>
                <c:pt idx="37">
                  <c:v>763.06</c:v>
                </c:pt>
                <c:pt idx="38">
                  <c:v>732.93</c:v>
                </c:pt>
                <c:pt idx="39">
                  <c:v>732.93</c:v>
                </c:pt>
                <c:pt idx="40">
                  <c:v>870.82</c:v>
                </c:pt>
                <c:pt idx="41">
                  <c:v>870.82</c:v>
                </c:pt>
                <c:pt idx="42">
                  <c:v>1466.99</c:v>
                </c:pt>
                <c:pt idx="43">
                  <c:v>1466.99</c:v>
                </c:pt>
                <c:pt idx="44">
                  <c:v>1313.35</c:v>
                </c:pt>
                <c:pt idx="45">
                  <c:v>1313.35</c:v>
                </c:pt>
                <c:pt idx="46">
                  <c:v>1423.64</c:v>
                </c:pt>
                <c:pt idx="47">
                  <c:v>1423.64</c:v>
                </c:pt>
                <c:pt idx="48">
                  <c:v>1788.35</c:v>
                </c:pt>
                <c:pt idx="49">
                  <c:v>1788.35</c:v>
                </c:pt>
                <c:pt idx="50">
                  <c:v>1586.03</c:v>
                </c:pt>
                <c:pt idx="51">
                  <c:v>1586.03</c:v>
                </c:pt>
                <c:pt idx="52">
                  <c:v>1462.21</c:v>
                </c:pt>
                <c:pt idx="53">
                  <c:v>1462.21</c:v>
                </c:pt>
                <c:pt idx="54">
                  <c:v>1685.49</c:v>
                </c:pt>
                <c:pt idx="55">
                  <c:v>1685.49</c:v>
                </c:pt>
                <c:pt idx="56">
                  <c:v>1584.29</c:v>
                </c:pt>
                <c:pt idx="57">
                  <c:v>1584.29</c:v>
                </c:pt>
                <c:pt idx="58">
                  <c:v>1553.27</c:v>
                </c:pt>
                <c:pt idx="59">
                  <c:v>1553.27</c:v>
                </c:pt>
                <c:pt idx="60">
                  <c:v>1472.84</c:v>
                </c:pt>
                <c:pt idx="61">
                  <c:v>1472.84</c:v>
                </c:pt>
                <c:pt idx="62">
                  <c:v>1478.28</c:v>
                </c:pt>
                <c:pt idx="63">
                  <c:v>1478.28</c:v>
                </c:pt>
                <c:pt idx="64">
                  <c:v>1763.57</c:v>
                </c:pt>
                <c:pt idx="65">
                  <c:v>1763.57</c:v>
                </c:pt>
                <c:pt idx="66">
                  <c:v>1697.26</c:v>
                </c:pt>
                <c:pt idx="67">
                  <c:v>1697.26</c:v>
                </c:pt>
                <c:pt idx="68">
                  <c:v>1631.57</c:v>
                </c:pt>
                <c:pt idx="69">
                  <c:v>1631.57</c:v>
                </c:pt>
                <c:pt idx="70">
                  <c:v>1594.52</c:v>
                </c:pt>
                <c:pt idx="71">
                  <c:v>1594.52</c:v>
                </c:pt>
                <c:pt idx="72">
                  <c:v>1550.15</c:v>
                </c:pt>
                <c:pt idx="73">
                  <c:v>1550.15</c:v>
                </c:pt>
                <c:pt idx="74">
                  <c:v>1543.19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DE-4386-B890-E8CBE9346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967"/>
          <c:min val="27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94</xdr:row>
      <xdr:rowOff>0</xdr:rowOff>
    </xdr:from>
    <xdr:to>
      <xdr:col>13</xdr:col>
      <xdr:colOff>0</xdr:colOff>
      <xdr:row>114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9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5.25" customWidth="1"/>
    <col min="5" max="7" width="8" bestFit="1" customWidth="1"/>
    <col min="8" max="8" width="17.12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5" customHeight="1" x14ac:dyDescent="0.2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4.95" customHeight="1" x14ac:dyDescent="0.2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15" customHeight="1" x14ac:dyDescent="0.2">
      <c r="A4" s="10" t="s">
        <v>3</v>
      </c>
      <c r="B4" s="10"/>
      <c r="C4" s="10"/>
      <c r="D4" s="18" t="s">
        <v>270</v>
      </c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15" customHeight="1" x14ac:dyDescent="0.2">
      <c r="A5" s="10" t="s">
        <v>4</v>
      </c>
      <c r="B5" s="10"/>
      <c r="C5" s="10"/>
      <c r="D5" s="18" t="s">
        <v>5</v>
      </c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ht="15" customHeight="1" x14ac:dyDescent="0.2">
      <c r="A6" s="10" t="s">
        <v>6</v>
      </c>
      <c r="B6" s="10"/>
      <c r="C6" s="10"/>
      <c r="D6" s="18" t="s">
        <v>7</v>
      </c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ht="15" customHeight="1" x14ac:dyDescent="0.2">
      <c r="A7" s="10" t="s">
        <v>8</v>
      </c>
      <c r="B7" s="10"/>
      <c r="C7" s="10"/>
      <c r="D7" s="18" t="s">
        <v>9</v>
      </c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ht="15" customHeight="1" x14ac:dyDescent="0.2">
      <c r="D8" s="18" t="s">
        <v>10</v>
      </c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 ht="15" customHeight="1" x14ac:dyDescent="0.2">
      <c r="D9" s="18" t="s">
        <v>11</v>
      </c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ht="15" customHeight="1" x14ac:dyDescent="0.2">
      <c r="D10" s="18" t="s">
        <v>12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ht="15" customHeight="1" x14ac:dyDescent="0.2">
      <c r="D11" s="18" t="s">
        <v>13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ht="15" customHeight="1" x14ac:dyDescent="0.2">
      <c r="D12" s="18" t="s">
        <v>14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ht="15" customHeight="1" x14ac:dyDescent="0.2">
      <c r="D13" s="18" t="s">
        <v>15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ht="15" customHeight="1" x14ac:dyDescent="0.2">
      <c r="D14" s="18" t="s">
        <v>16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ht="15" customHeight="1" x14ac:dyDescent="0.2">
      <c r="D15" s="18" t="s">
        <v>17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ht="15" customHeight="1" x14ac:dyDescent="0.2">
      <c r="D16" s="18" t="s">
        <v>18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4:14" ht="15" customHeight="1" x14ac:dyDescent="0.2">
      <c r="D17" s="18" t="s">
        <v>19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4:14" ht="15" customHeight="1" x14ac:dyDescent="0.2">
      <c r="D18" s="18" t="s">
        <v>20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4:14" ht="15" customHeight="1" x14ac:dyDescent="0.2">
      <c r="D19" s="18" t="s">
        <v>21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4:14" ht="15" customHeight="1" x14ac:dyDescent="0.2">
      <c r="D20" s="18" t="s">
        <v>22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4:14" ht="15" customHeight="1" x14ac:dyDescent="0.2">
      <c r="D21" s="18" t="s">
        <v>23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4:14" ht="15" customHeight="1" x14ac:dyDescent="0.2">
      <c r="D22" s="18" t="s">
        <v>24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4:14" ht="15" customHeight="1" x14ac:dyDescent="0.2">
      <c r="D23" s="18" t="s">
        <v>25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4:14" ht="15" customHeight="1" x14ac:dyDescent="0.2">
      <c r="D24" s="18" t="s">
        <v>26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4:14" ht="15" customHeight="1" x14ac:dyDescent="0.2">
      <c r="D25" s="18" t="s">
        <v>27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4:14" ht="15" customHeight="1" x14ac:dyDescent="0.2">
      <c r="D26" s="18" t="s">
        <v>28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4:14" ht="15" customHeight="1" x14ac:dyDescent="0.2">
      <c r="D27" s="18" t="s">
        <v>29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4:14" ht="15" customHeight="1" x14ac:dyDescent="0.2">
      <c r="D28" s="18" t="s">
        <v>30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4:14" ht="15" customHeight="1" x14ac:dyDescent="0.2">
      <c r="D29" s="18" t="s">
        <v>31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4:14" ht="15" customHeight="1" x14ac:dyDescent="0.2">
      <c r="D30" s="18" t="s">
        <v>32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4:14" ht="15" customHeight="1" x14ac:dyDescent="0.2">
      <c r="D31" s="18" t="s">
        <v>33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4:14" ht="15" customHeight="1" x14ac:dyDescent="0.2">
      <c r="D32" s="18" t="s">
        <v>34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4:14" ht="15" customHeight="1" x14ac:dyDescent="0.2">
      <c r="D33" s="18" t="s">
        <v>35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4:14" ht="15" customHeight="1" x14ac:dyDescent="0.2">
      <c r="D34" s="18" t="s">
        <v>36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4:14" ht="15" customHeight="1" x14ac:dyDescent="0.2">
      <c r="D35" s="18" t="s">
        <v>37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4:14" ht="15" customHeight="1" x14ac:dyDescent="0.2">
      <c r="D36" s="18" t="s">
        <v>38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4:14" ht="15" customHeight="1" x14ac:dyDescent="0.2">
      <c r="D37" s="18" t="s">
        <v>39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4:14" ht="15" customHeight="1" x14ac:dyDescent="0.2">
      <c r="D38" s="18" t="s">
        <v>40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4:14" ht="15" customHeight="1" x14ac:dyDescent="0.2">
      <c r="D39" s="18" t="s">
        <v>41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4:14" ht="15" customHeight="1" x14ac:dyDescent="0.2">
      <c r="D40" s="18" t="s">
        <v>42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4:14" ht="15" customHeight="1" x14ac:dyDescent="0.2">
      <c r="D41" s="18" t="s">
        <v>43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4:14" ht="15" customHeight="1" x14ac:dyDescent="0.2">
      <c r="D42" s="18" t="s">
        <v>44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4:14" ht="15" customHeight="1" x14ac:dyDescent="0.2">
      <c r="D43" s="18" t="s">
        <v>45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4:14" ht="15" customHeight="1" x14ac:dyDescent="0.2">
      <c r="D44" s="18" t="s">
        <v>46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4:14" ht="15" customHeight="1" x14ac:dyDescent="0.2">
      <c r="D45" s="18" t="s">
        <v>47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4:14" ht="15" customHeight="1" x14ac:dyDescent="0.2">
      <c r="D46" s="18" t="s">
        <v>48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4:14" ht="15" customHeight="1" x14ac:dyDescent="0.2">
      <c r="D47" s="18" t="s">
        <v>49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4:14" ht="15" customHeight="1" x14ac:dyDescent="0.2">
      <c r="D48" s="18" t="s">
        <v>50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4:14" ht="15" customHeight="1" x14ac:dyDescent="0.2">
      <c r="D49" s="18" t="s">
        <v>51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4:14" ht="15" customHeight="1" x14ac:dyDescent="0.2">
      <c r="D50" s="18" t="s">
        <v>52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4:14" ht="15" customHeight="1" x14ac:dyDescent="0.2">
      <c r="D51" s="18" t="s">
        <v>53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4:14" ht="15" customHeight="1" x14ac:dyDescent="0.2">
      <c r="D52" s="18" t="s">
        <v>54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4:14" ht="15" customHeight="1" x14ac:dyDescent="0.2">
      <c r="D53" s="18" t="s">
        <v>55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4:14" ht="15" customHeight="1" x14ac:dyDescent="0.2">
      <c r="D54" s="18" t="s">
        <v>56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4:14" ht="15" customHeight="1" x14ac:dyDescent="0.2">
      <c r="D55" s="18" t="s">
        <v>57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4:14" ht="15" customHeight="1" x14ac:dyDescent="0.2">
      <c r="D56" s="18" t="s">
        <v>58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4:14" ht="15" customHeight="1" x14ac:dyDescent="0.2">
      <c r="D57" s="18" t="s">
        <v>59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4:14" ht="15" customHeight="1" x14ac:dyDescent="0.2">
      <c r="D58" s="18" t="s">
        <v>60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4:14" ht="15" customHeight="1" x14ac:dyDescent="0.2">
      <c r="D59" s="18" t="s">
        <v>61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4:14" ht="15" customHeight="1" x14ac:dyDescent="0.2">
      <c r="D60" s="18" t="s">
        <v>62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4:14" ht="15" customHeight="1" x14ac:dyDescent="0.2">
      <c r="D61" s="18" t="s">
        <v>63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4:14" ht="15" customHeight="1" x14ac:dyDescent="0.2">
      <c r="D62" s="18" t="s">
        <v>64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4:14" ht="15" customHeight="1" x14ac:dyDescent="0.2">
      <c r="D63" s="18" t="s">
        <v>65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4:14" ht="15" customHeight="1" x14ac:dyDescent="0.2">
      <c r="D64" s="18" t="s">
        <v>66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customHeight="1" x14ac:dyDescent="0.2">
      <c r="D65" s="18" t="s">
        <v>67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customHeight="1" x14ac:dyDescent="0.2">
      <c r="D66" s="18" t="s">
        <v>68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customHeight="1" x14ac:dyDescent="0.2">
      <c r="D67" s="18" t="s">
        <v>69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customHeight="1" x14ac:dyDescent="0.2">
      <c r="A68" s="10" t="s">
        <v>70</v>
      </c>
      <c r="B68" s="10"/>
      <c r="C68" s="10"/>
      <c r="D68" s="18" t="s">
        <v>71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customHeight="1" x14ac:dyDescent="0.2">
      <c r="A69" s="10" t="s">
        <v>72</v>
      </c>
      <c r="B69" s="10"/>
      <c r="C69" s="10"/>
      <c r="D69" s="18" t="s">
        <v>73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customHeight="1" x14ac:dyDescent="0.2">
      <c r="A70" s="10" t="s">
        <v>74</v>
      </c>
      <c r="B70" s="10"/>
      <c r="C70" s="10"/>
      <c r="D70" s="19">
        <v>300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spans="1:14" ht="15" customHeight="1" x14ac:dyDescent="0.2">
      <c r="A71" s="10" t="s">
        <v>75</v>
      </c>
      <c r="B71" s="10"/>
      <c r="C71" s="10"/>
      <c r="D71" s="18" t="s">
        <v>76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24.95" customHeight="1" x14ac:dyDescent="0.2">
      <c r="A72" s="16" t="s">
        <v>77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5" customHeight="1" x14ac:dyDescent="0.2">
      <c r="A73" s="10" t="s">
        <v>78</v>
      </c>
      <c r="B73" s="10"/>
      <c r="C73" s="10"/>
      <c r="D73" s="14" t="s">
        <v>79</v>
      </c>
    </row>
    <row r="74" spans="1:14" ht="15" customHeight="1" x14ac:dyDescent="0.2">
      <c r="A74" s="10" t="s">
        <v>80</v>
      </c>
      <c r="B74" s="10"/>
      <c r="C74" s="10"/>
      <c r="D74" s="15">
        <v>63829</v>
      </c>
      <c r="E74" s="10" t="s">
        <v>81</v>
      </c>
      <c r="F74" s="10"/>
      <c r="G74" s="10"/>
      <c r="H74" s="15">
        <v>10180082</v>
      </c>
      <c r="I74" s="10" t="s">
        <v>82</v>
      </c>
      <c r="J74" s="10"/>
      <c r="K74" s="10"/>
      <c r="L74" s="15">
        <v>1</v>
      </c>
      <c r="M74" s="15"/>
      <c r="N74" s="15"/>
    </row>
    <row r="75" spans="1:14" ht="15" customHeight="1" x14ac:dyDescent="0.2">
      <c r="A75" s="10" t="s">
        <v>83</v>
      </c>
      <c r="B75" s="10"/>
      <c r="C75" s="10"/>
      <c r="D75" s="17">
        <v>1243.19</v>
      </c>
      <c r="E75" s="10" t="s">
        <v>84</v>
      </c>
      <c r="F75" s="10"/>
      <c r="G75" s="10"/>
      <c r="H75" s="17">
        <v>0</v>
      </c>
      <c r="I75" s="10" t="s">
        <v>85</v>
      </c>
      <c r="J75" s="10"/>
      <c r="K75" s="10"/>
      <c r="L75" s="17">
        <v>3.75</v>
      </c>
      <c r="M75" s="17"/>
      <c r="N75" s="17"/>
    </row>
    <row r="76" spans="1:14" ht="15" customHeight="1" x14ac:dyDescent="0.2">
      <c r="A76" s="10" t="s">
        <v>86</v>
      </c>
      <c r="B76" s="10"/>
      <c r="C76" s="10"/>
      <c r="D76" s="17">
        <v>2482.4699999999998</v>
      </c>
      <c r="E76" s="10" t="s">
        <v>87</v>
      </c>
      <c r="F76" s="10"/>
      <c r="G76" s="10"/>
      <c r="H76" s="14" t="s">
        <v>88</v>
      </c>
      <c r="I76" s="10" t="s">
        <v>89</v>
      </c>
      <c r="J76" s="10"/>
      <c r="K76" s="10"/>
      <c r="L76" s="14" t="s">
        <v>90</v>
      </c>
      <c r="M76" s="14"/>
      <c r="N76" s="14"/>
    </row>
    <row r="77" spans="1:14" ht="15" customHeight="1" x14ac:dyDescent="0.2">
      <c r="A77" s="10" t="s">
        <v>91</v>
      </c>
      <c r="B77" s="10"/>
      <c r="C77" s="10"/>
      <c r="D77" s="17">
        <v>-1239.28</v>
      </c>
      <c r="E77" s="10" t="s">
        <v>92</v>
      </c>
      <c r="F77" s="10"/>
      <c r="G77" s="10"/>
      <c r="H77" s="14" t="s">
        <v>93</v>
      </c>
      <c r="I77" s="10" t="s">
        <v>94</v>
      </c>
      <c r="J77" s="10"/>
      <c r="K77" s="10"/>
      <c r="L77" s="14" t="s">
        <v>95</v>
      </c>
      <c r="M77" s="14"/>
      <c r="N77" s="14"/>
    </row>
    <row r="79" spans="1:14" ht="15" customHeight="1" x14ac:dyDescent="0.2">
      <c r="A79" s="10" t="s">
        <v>96</v>
      </c>
      <c r="B79" s="10"/>
      <c r="C79" s="10"/>
      <c r="D79" s="17">
        <v>2.003155</v>
      </c>
      <c r="E79" s="10" t="s">
        <v>97</v>
      </c>
      <c r="F79" s="10"/>
      <c r="G79" s="10"/>
      <c r="H79" s="17">
        <v>33.599730000000001</v>
      </c>
      <c r="I79" s="10" t="s">
        <v>98</v>
      </c>
      <c r="J79" s="10"/>
      <c r="K79" s="10"/>
      <c r="L79" s="14" t="s">
        <v>99</v>
      </c>
      <c r="M79" s="14"/>
      <c r="N79" s="14"/>
    </row>
    <row r="80" spans="1:14" ht="15" customHeight="1" x14ac:dyDescent="0.2">
      <c r="A80" s="10" t="s">
        <v>100</v>
      </c>
      <c r="B80" s="10"/>
      <c r="C80" s="10"/>
      <c r="D80" s="17">
        <v>2.0378159999999998</v>
      </c>
      <c r="E80" s="10" t="s">
        <v>101</v>
      </c>
      <c r="F80" s="10"/>
      <c r="G80" s="10"/>
      <c r="H80" s="17">
        <v>2.8725369999999999</v>
      </c>
      <c r="I80" s="10" t="s">
        <v>102</v>
      </c>
      <c r="J80" s="10"/>
      <c r="K80" s="10"/>
      <c r="L80" s="14" t="s">
        <v>103</v>
      </c>
      <c r="M80" s="14"/>
      <c r="N80" s="14"/>
    </row>
    <row r="81" spans="1:14" ht="15" customHeight="1" x14ac:dyDescent="0.2">
      <c r="A81" s="10" t="s">
        <v>104</v>
      </c>
      <c r="B81" s="10"/>
      <c r="C81" s="10"/>
      <c r="D81" s="14" t="s">
        <v>105</v>
      </c>
      <c r="E81" s="10" t="s">
        <v>106</v>
      </c>
      <c r="F81" s="10"/>
      <c r="G81" s="10"/>
      <c r="H81" s="17">
        <v>0.92438799999999999</v>
      </c>
      <c r="I81" s="10" t="s">
        <v>107</v>
      </c>
      <c r="J81" s="10"/>
      <c r="K81" s="10"/>
      <c r="L81" s="14" t="s">
        <v>108</v>
      </c>
      <c r="M81" s="14"/>
      <c r="N81" s="14"/>
    </row>
    <row r="82" spans="1:14" ht="15" customHeight="1" x14ac:dyDescent="0.2">
      <c r="A82" s="10" t="s">
        <v>109</v>
      </c>
      <c r="B82" s="10"/>
      <c r="C82" s="10"/>
      <c r="D82" s="14" t="s">
        <v>110</v>
      </c>
      <c r="E82" s="10" t="s">
        <v>111</v>
      </c>
      <c r="F82" s="10"/>
      <c r="G82" s="10"/>
      <c r="H82" s="17">
        <v>192.57800800000001</v>
      </c>
    </row>
    <row r="84" spans="1:14" ht="15" customHeight="1" x14ac:dyDescent="0.2">
      <c r="A84" s="10" t="s">
        <v>112</v>
      </c>
      <c r="B84" s="10"/>
      <c r="C84" s="10"/>
      <c r="D84" s="17">
        <v>0.81102700000000005</v>
      </c>
      <c r="E84" s="10" t="s">
        <v>113</v>
      </c>
      <c r="F84" s="10"/>
      <c r="G84" s="10"/>
      <c r="H84" s="17">
        <v>0.54543299999999995</v>
      </c>
      <c r="I84" s="10" t="s">
        <v>114</v>
      </c>
      <c r="J84" s="10"/>
      <c r="K84" s="10"/>
      <c r="L84" s="17">
        <v>2.0913999999999999E-2</v>
      </c>
      <c r="M84" s="17"/>
      <c r="N84" s="17"/>
    </row>
    <row r="85" spans="1:14" ht="15" customHeight="1" x14ac:dyDescent="0.2">
      <c r="A85" s="10" t="s">
        <v>115</v>
      </c>
      <c r="B85" s="10"/>
      <c r="C85" s="10"/>
      <c r="D85" s="14" t="s">
        <v>116</v>
      </c>
      <c r="E85" s="10" t="s">
        <v>117</v>
      </c>
      <c r="F85" s="10"/>
      <c r="G85" s="10"/>
      <c r="H85" s="14" t="s">
        <v>118</v>
      </c>
      <c r="I85" s="10" t="s">
        <v>119</v>
      </c>
      <c r="J85" s="10"/>
      <c r="K85" s="10"/>
      <c r="L85" s="14" t="s">
        <v>120</v>
      </c>
      <c r="M85" s="14"/>
      <c r="N85" s="14"/>
    </row>
    <row r="87" spans="1:14" ht="15" customHeight="1" x14ac:dyDescent="0.2">
      <c r="A87" s="10" t="s">
        <v>121</v>
      </c>
      <c r="B87" s="10"/>
      <c r="C87" s="10"/>
      <c r="D87" s="15">
        <v>37</v>
      </c>
      <c r="E87" s="10" t="s">
        <v>122</v>
      </c>
      <c r="F87" s="10"/>
      <c r="G87" s="10"/>
      <c r="H87" s="14" t="s">
        <v>123</v>
      </c>
      <c r="I87" s="10" t="s">
        <v>124</v>
      </c>
      <c r="J87" s="10"/>
      <c r="K87" s="10"/>
      <c r="L87" s="14" t="s">
        <v>125</v>
      </c>
      <c r="M87" s="14"/>
      <c r="N87" s="14"/>
    </row>
    <row r="88" spans="1:14" ht="15" customHeight="1" x14ac:dyDescent="0.2">
      <c r="A88" s="10" t="s">
        <v>126</v>
      </c>
      <c r="B88" s="10"/>
      <c r="C88" s="10"/>
      <c r="D88" s="15">
        <v>74</v>
      </c>
      <c r="E88" s="10" t="s">
        <v>127</v>
      </c>
      <c r="F88" s="10"/>
      <c r="G88" s="10"/>
      <c r="H88" s="14" t="s">
        <v>128</v>
      </c>
      <c r="I88" s="10" t="s">
        <v>129</v>
      </c>
      <c r="J88" s="10"/>
      <c r="K88" s="10"/>
      <c r="L88" s="14" t="s">
        <v>130</v>
      </c>
      <c r="M88" s="14"/>
      <c r="N88" s="14"/>
    </row>
    <row r="89" spans="1:14" ht="15" customHeight="1" x14ac:dyDescent="0.2">
      <c r="E89" s="10" t="s">
        <v>131</v>
      </c>
      <c r="F89" s="10"/>
      <c r="G89" s="10"/>
      <c r="H89" s="17">
        <v>596.16999999999996</v>
      </c>
      <c r="I89" s="10" t="s">
        <v>132</v>
      </c>
      <c r="J89" s="10"/>
      <c r="K89" s="10"/>
      <c r="L89" s="17">
        <v>-202.32</v>
      </c>
      <c r="M89" s="17"/>
      <c r="N89" s="17"/>
    </row>
    <row r="90" spans="1:14" ht="15" customHeight="1" x14ac:dyDescent="0.2">
      <c r="E90" s="10" t="s">
        <v>133</v>
      </c>
      <c r="F90" s="10"/>
      <c r="G90" s="10"/>
      <c r="H90" s="17">
        <v>146.027647</v>
      </c>
      <c r="I90" s="10" t="s">
        <v>134</v>
      </c>
      <c r="J90" s="10"/>
      <c r="K90" s="10"/>
      <c r="L90" s="17">
        <v>-61.963999999999999</v>
      </c>
      <c r="M90" s="17"/>
      <c r="N90" s="17"/>
    </row>
    <row r="91" spans="1:14" ht="15" customHeight="1" x14ac:dyDescent="0.2">
      <c r="E91" s="10" t="s">
        <v>135</v>
      </c>
      <c r="F91" s="10"/>
      <c r="G91" s="10"/>
      <c r="H91" s="14" t="s">
        <v>136</v>
      </c>
      <c r="I91" s="10" t="s">
        <v>137</v>
      </c>
      <c r="J91" s="10"/>
      <c r="K91" s="10"/>
      <c r="L91" s="14" t="s">
        <v>138</v>
      </c>
      <c r="M91" s="14"/>
      <c r="N91" s="14"/>
    </row>
    <row r="92" spans="1:14" ht="15" customHeight="1" x14ac:dyDescent="0.2">
      <c r="E92" s="10" t="s">
        <v>139</v>
      </c>
      <c r="F92" s="10"/>
      <c r="G92" s="10"/>
      <c r="H92" s="14" t="s">
        <v>140</v>
      </c>
      <c r="I92" s="10" t="s">
        <v>141</v>
      </c>
      <c r="J92" s="10"/>
      <c r="K92" s="10"/>
      <c r="L92" s="14" t="s">
        <v>142</v>
      </c>
      <c r="M92" s="14"/>
      <c r="N92" s="14"/>
    </row>
    <row r="93" spans="1:14" ht="15" customHeight="1" x14ac:dyDescent="0.2">
      <c r="E93" s="10" t="s">
        <v>143</v>
      </c>
      <c r="F93" s="10"/>
      <c r="G93" s="10"/>
      <c r="H93" s="15">
        <v>2</v>
      </c>
      <c r="I93" s="10" t="s">
        <v>144</v>
      </c>
      <c r="J93" s="10"/>
      <c r="K93" s="10"/>
      <c r="L93" s="15">
        <v>2</v>
      </c>
      <c r="M93" s="15"/>
      <c r="N93" s="15"/>
    </row>
    <row r="116" spans="1:14" ht="20.100000000000001" customHeight="1" x14ac:dyDescent="0.2">
      <c r="A116" s="16" t="s">
        <v>145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20.100000000000001" customHeight="1" x14ac:dyDescent="0.2">
      <c r="A117" s="2" t="s">
        <v>146</v>
      </c>
      <c r="B117" s="2" t="s">
        <v>147</v>
      </c>
      <c r="C117" s="2" t="s">
        <v>148</v>
      </c>
      <c r="D117" s="2" t="s">
        <v>149</v>
      </c>
      <c r="E117" s="13" t="s">
        <v>150</v>
      </c>
      <c r="F117" s="13"/>
      <c r="G117" s="2" t="s">
        <v>151</v>
      </c>
      <c r="H117" s="2" t="s">
        <v>152</v>
      </c>
      <c r="I117" s="2" t="s">
        <v>153</v>
      </c>
      <c r="J117" s="13" t="s">
        <v>154</v>
      </c>
      <c r="K117" s="13"/>
      <c r="L117" s="2" t="s">
        <v>155</v>
      </c>
      <c r="M117" s="13" t="s">
        <v>156</v>
      </c>
      <c r="N117" s="13"/>
    </row>
    <row r="118" spans="1:14" ht="15" customHeight="1" x14ac:dyDescent="0.2">
      <c r="A118" s="3" t="s">
        <v>157</v>
      </c>
      <c r="B118" s="4">
        <v>2</v>
      </c>
      <c r="C118" s="3" t="s">
        <v>5</v>
      </c>
      <c r="D118" s="3" t="s">
        <v>158</v>
      </c>
      <c r="E118" s="9" t="s">
        <v>159</v>
      </c>
      <c r="F118" s="9"/>
      <c r="G118" s="5">
        <v>0</v>
      </c>
      <c r="H118" s="3"/>
      <c r="I118" s="3"/>
      <c r="J118" s="9" t="s">
        <v>157</v>
      </c>
      <c r="K118" s="9"/>
      <c r="L118" s="3" t="s">
        <v>160</v>
      </c>
      <c r="M118" s="9" t="s">
        <v>161</v>
      </c>
      <c r="N118" s="9"/>
    </row>
    <row r="119" spans="1:14" ht="15" customHeight="1" x14ac:dyDescent="0.2">
      <c r="A119" s="1" t="s">
        <v>162</v>
      </c>
      <c r="B119" s="6">
        <v>3</v>
      </c>
      <c r="C119" s="1" t="s">
        <v>5</v>
      </c>
      <c r="D119" s="1" t="s">
        <v>163</v>
      </c>
      <c r="E119" s="10" t="s">
        <v>159</v>
      </c>
      <c r="F119" s="10"/>
      <c r="G119" s="7">
        <v>0</v>
      </c>
      <c r="H119" s="1"/>
      <c r="I119" s="1"/>
      <c r="J119" s="10" t="s">
        <v>162</v>
      </c>
      <c r="K119" s="10"/>
      <c r="L119" s="1" t="s">
        <v>160</v>
      </c>
      <c r="M119" s="10"/>
      <c r="N119" s="10"/>
    </row>
    <row r="120" spans="1:14" ht="15" customHeight="1" x14ac:dyDescent="0.2">
      <c r="A120" s="3" t="s">
        <v>164</v>
      </c>
      <c r="B120" s="4">
        <v>4</v>
      </c>
      <c r="C120" s="3" t="s">
        <v>5</v>
      </c>
      <c r="D120" s="3" t="s">
        <v>158</v>
      </c>
      <c r="E120" s="9" t="s">
        <v>159</v>
      </c>
      <c r="F120" s="9"/>
      <c r="G120" s="5">
        <v>0</v>
      </c>
      <c r="H120" s="3"/>
      <c r="I120" s="3"/>
      <c r="J120" s="9" t="s">
        <v>164</v>
      </c>
      <c r="K120" s="9"/>
      <c r="L120" s="3" t="s">
        <v>160</v>
      </c>
      <c r="M120" s="9" t="s">
        <v>161</v>
      </c>
      <c r="N120" s="9"/>
    </row>
    <row r="121" spans="1:14" ht="15" customHeight="1" x14ac:dyDescent="0.2">
      <c r="A121" s="1" t="s">
        <v>165</v>
      </c>
      <c r="B121" s="6">
        <v>5</v>
      </c>
      <c r="C121" s="1" t="s">
        <v>5</v>
      </c>
      <c r="D121" s="1" t="s">
        <v>163</v>
      </c>
      <c r="E121" s="10" t="s">
        <v>159</v>
      </c>
      <c r="F121" s="10"/>
      <c r="G121" s="7">
        <v>0</v>
      </c>
      <c r="H121" s="1"/>
      <c r="I121" s="1"/>
      <c r="J121" s="10" t="s">
        <v>165</v>
      </c>
      <c r="K121" s="10"/>
      <c r="L121" s="1" t="s">
        <v>160</v>
      </c>
      <c r="M121" s="10"/>
      <c r="N121" s="10"/>
    </row>
    <row r="122" spans="1:14" ht="15" customHeight="1" x14ac:dyDescent="0.2">
      <c r="A122" s="3" t="s">
        <v>166</v>
      </c>
      <c r="B122" s="4">
        <v>6</v>
      </c>
      <c r="C122" s="3" t="s">
        <v>5</v>
      </c>
      <c r="D122" s="3" t="s">
        <v>158</v>
      </c>
      <c r="E122" s="9" t="s">
        <v>159</v>
      </c>
      <c r="F122" s="9"/>
      <c r="G122" s="5">
        <v>0</v>
      </c>
      <c r="H122" s="3"/>
      <c r="I122" s="3"/>
      <c r="J122" s="9" t="s">
        <v>166</v>
      </c>
      <c r="K122" s="9"/>
      <c r="L122" s="3" t="s">
        <v>160</v>
      </c>
      <c r="M122" s="9" t="s">
        <v>161</v>
      </c>
      <c r="N122" s="9"/>
    </row>
    <row r="123" spans="1:14" ht="15" customHeight="1" x14ac:dyDescent="0.2">
      <c r="A123" s="1" t="s">
        <v>167</v>
      </c>
      <c r="B123" s="6">
        <v>7</v>
      </c>
      <c r="C123" s="1" t="s">
        <v>5</v>
      </c>
      <c r="D123" s="1" t="s">
        <v>163</v>
      </c>
      <c r="E123" s="10" t="s">
        <v>159</v>
      </c>
      <c r="F123" s="10"/>
      <c r="G123" s="7">
        <v>0</v>
      </c>
      <c r="H123" s="1"/>
      <c r="I123" s="1"/>
      <c r="J123" s="10" t="s">
        <v>167</v>
      </c>
      <c r="K123" s="10"/>
      <c r="L123" s="1" t="s">
        <v>160</v>
      </c>
      <c r="M123" s="10" t="s">
        <v>168</v>
      </c>
      <c r="N123" s="10"/>
    </row>
    <row r="124" spans="1:14" ht="15" customHeight="1" x14ac:dyDescent="0.2">
      <c r="A124" s="3" t="s">
        <v>169</v>
      </c>
      <c r="B124" s="4">
        <v>8</v>
      </c>
      <c r="C124" s="3" t="s">
        <v>5</v>
      </c>
      <c r="D124" s="3" t="s">
        <v>158</v>
      </c>
      <c r="E124" s="9" t="s">
        <v>159</v>
      </c>
      <c r="F124" s="9"/>
      <c r="G124" s="5">
        <v>0</v>
      </c>
      <c r="H124" s="3"/>
      <c r="I124" s="3"/>
      <c r="J124" s="9" t="s">
        <v>169</v>
      </c>
      <c r="K124" s="9"/>
      <c r="L124" s="3" t="s">
        <v>160</v>
      </c>
      <c r="M124" s="9" t="s">
        <v>161</v>
      </c>
      <c r="N124" s="9"/>
    </row>
    <row r="125" spans="1:14" ht="15" customHeight="1" x14ac:dyDescent="0.2">
      <c r="A125" s="1" t="s">
        <v>170</v>
      </c>
      <c r="B125" s="6">
        <v>9</v>
      </c>
      <c r="C125" s="1" t="s">
        <v>5</v>
      </c>
      <c r="D125" s="1" t="s">
        <v>163</v>
      </c>
      <c r="E125" s="10" t="s">
        <v>159</v>
      </c>
      <c r="F125" s="10"/>
      <c r="G125" s="7">
        <v>0</v>
      </c>
      <c r="H125" s="1"/>
      <c r="I125" s="1"/>
      <c r="J125" s="10" t="s">
        <v>170</v>
      </c>
      <c r="K125" s="10"/>
      <c r="L125" s="1" t="s">
        <v>160</v>
      </c>
      <c r="M125" s="10"/>
      <c r="N125" s="10"/>
    </row>
    <row r="126" spans="1:14" ht="15" customHeight="1" x14ac:dyDescent="0.2">
      <c r="A126" s="3" t="s">
        <v>171</v>
      </c>
      <c r="B126" s="4">
        <v>10</v>
      </c>
      <c r="C126" s="3" t="s">
        <v>5</v>
      </c>
      <c r="D126" s="3" t="s">
        <v>158</v>
      </c>
      <c r="E126" s="9" t="s">
        <v>159</v>
      </c>
      <c r="F126" s="9"/>
      <c r="G126" s="5">
        <v>0</v>
      </c>
      <c r="H126" s="3"/>
      <c r="I126" s="3"/>
      <c r="J126" s="9" t="s">
        <v>171</v>
      </c>
      <c r="K126" s="9"/>
      <c r="L126" s="3" t="s">
        <v>160</v>
      </c>
      <c r="M126" s="9" t="s">
        <v>161</v>
      </c>
      <c r="N126" s="9"/>
    </row>
    <row r="127" spans="1:14" ht="15" customHeight="1" x14ac:dyDescent="0.2">
      <c r="A127" s="1" t="s">
        <v>172</v>
      </c>
      <c r="B127" s="6">
        <v>11</v>
      </c>
      <c r="C127" s="1" t="s">
        <v>5</v>
      </c>
      <c r="D127" s="1" t="s">
        <v>163</v>
      </c>
      <c r="E127" s="10" t="s">
        <v>159</v>
      </c>
      <c r="F127" s="10"/>
      <c r="G127" s="7">
        <v>0</v>
      </c>
      <c r="H127" s="1"/>
      <c r="I127" s="1"/>
      <c r="J127" s="10" t="s">
        <v>172</v>
      </c>
      <c r="K127" s="10"/>
      <c r="L127" s="1" t="s">
        <v>160</v>
      </c>
      <c r="M127" s="10"/>
      <c r="N127" s="10"/>
    </row>
    <row r="128" spans="1:14" ht="15" customHeight="1" x14ac:dyDescent="0.2">
      <c r="A128" s="3" t="s">
        <v>173</v>
      </c>
      <c r="B128" s="4">
        <v>12</v>
      </c>
      <c r="C128" s="3" t="s">
        <v>5</v>
      </c>
      <c r="D128" s="3" t="s">
        <v>158</v>
      </c>
      <c r="E128" s="9" t="s">
        <v>159</v>
      </c>
      <c r="F128" s="9"/>
      <c r="G128" s="5">
        <v>0</v>
      </c>
      <c r="H128" s="3"/>
      <c r="I128" s="3"/>
      <c r="J128" s="9" t="s">
        <v>173</v>
      </c>
      <c r="K128" s="9"/>
      <c r="L128" s="3" t="s">
        <v>160</v>
      </c>
      <c r="M128" s="9" t="s">
        <v>161</v>
      </c>
      <c r="N128" s="9"/>
    </row>
    <row r="129" spans="1:14" ht="15" customHeight="1" x14ac:dyDescent="0.2">
      <c r="A129" s="1" t="s">
        <v>174</v>
      </c>
      <c r="B129" s="6">
        <v>13</v>
      </c>
      <c r="C129" s="1" t="s">
        <v>5</v>
      </c>
      <c r="D129" s="1" t="s">
        <v>163</v>
      </c>
      <c r="E129" s="10" t="s">
        <v>159</v>
      </c>
      <c r="F129" s="10"/>
      <c r="G129" s="7">
        <v>0</v>
      </c>
      <c r="H129" s="1"/>
      <c r="I129" s="1"/>
      <c r="J129" s="10" t="s">
        <v>174</v>
      </c>
      <c r="K129" s="10"/>
      <c r="L129" s="1" t="s">
        <v>160</v>
      </c>
      <c r="M129" s="10" t="s">
        <v>175</v>
      </c>
      <c r="N129" s="10"/>
    </row>
    <row r="130" spans="1:14" ht="15" customHeight="1" x14ac:dyDescent="0.2">
      <c r="A130" s="3" t="s">
        <v>176</v>
      </c>
      <c r="B130" s="4">
        <v>14</v>
      </c>
      <c r="C130" s="3" t="s">
        <v>5</v>
      </c>
      <c r="D130" s="3" t="s">
        <v>158</v>
      </c>
      <c r="E130" s="9" t="s">
        <v>159</v>
      </c>
      <c r="F130" s="9"/>
      <c r="G130" s="5">
        <v>0</v>
      </c>
      <c r="H130" s="3"/>
      <c r="I130" s="3"/>
      <c r="J130" s="9" t="s">
        <v>176</v>
      </c>
      <c r="K130" s="9"/>
      <c r="L130" s="3" t="s">
        <v>160</v>
      </c>
      <c r="M130" s="9" t="s">
        <v>161</v>
      </c>
      <c r="N130" s="9"/>
    </row>
    <row r="131" spans="1:14" ht="15" customHeight="1" x14ac:dyDescent="0.2">
      <c r="A131" s="1" t="s">
        <v>177</v>
      </c>
      <c r="B131" s="6">
        <v>15</v>
      </c>
      <c r="C131" s="1" t="s">
        <v>5</v>
      </c>
      <c r="D131" s="1" t="s">
        <v>163</v>
      </c>
      <c r="E131" s="10" t="s">
        <v>159</v>
      </c>
      <c r="F131" s="10"/>
      <c r="G131" s="7">
        <v>0</v>
      </c>
      <c r="H131" s="1"/>
      <c r="I131" s="1"/>
      <c r="J131" s="10" t="s">
        <v>177</v>
      </c>
      <c r="K131" s="10"/>
      <c r="L131" s="1" t="s">
        <v>160</v>
      </c>
      <c r="M131" s="10" t="s">
        <v>178</v>
      </c>
      <c r="N131" s="10"/>
    </row>
    <row r="132" spans="1:14" ht="15" customHeight="1" x14ac:dyDescent="0.2">
      <c r="A132" s="3" t="s">
        <v>179</v>
      </c>
      <c r="B132" s="4">
        <v>16</v>
      </c>
      <c r="C132" s="3" t="s">
        <v>5</v>
      </c>
      <c r="D132" s="3" t="s">
        <v>158</v>
      </c>
      <c r="E132" s="9" t="s">
        <v>159</v>
      </c>
      <c r="F132" s="9"/>
      <c r="G132" s="5">
        <v>0</v>
      </c>
      <c r="H132" s="3"/>
      <c r="I132" s="3"/>
      <c r="J132" s="9" t="s">
        <v>179</v>
      </c>
      <c r="K132" s="9"/>
      <c r="L132" s="3" t="s">
        <v>160</v>
      </c>
      <c r="M132" s="9" t="s">
        <v>161</v>
      </c>
      <c r="N132" s="9"/>
    </row>
    <row r="133" spans="1:14" ht="15" customHeight="1" x14ac:dyDescent="0.2">
      <c r="A133" s="1" t="s">
        <v>180</v>
      </c>
      <c r="B133" s="6">
        <v>17</v>
      </c>
      <c r="C133" s="1" t="s">
        <v>5</v>
      </c>
      <c r="D133" s="1" t="s">
        <v>163</v>
      </c>
      <c r="E133" s="10" t="s">
        <v>159</v>
      </c>
      <c r="F133" s="10"/>
      <c r="G133" s="7">
        <v>0</v>
      </c>
      <c r="H133" s="1"/>
      <c r="I133" s="1"/>
      <c r="J133" s="10" t="s">
        <v>180</v>
      </c>
      <c r="K133" s="10"/>
      <c r="L133" s="1" t="s">
        <v>160</v>
      </c>
      <c r="M133" s="10" t="s">
        <v>181</v>
      </c>
      <c r="N133" s="10"/>
    </row>
    <row r="134" spans="1:14" ht="15" customHeight="1" x14ac:dyDescent="0.2">
      <c r="A134" s="3" t="s">
        <v>182</v>
      </c>
      <c r="B134" s="4">
        <v>18</v>
      </c>
      <c r="C134" s="3" t="s">
        <v>5</v>
      </c>
      <c r="D134" s="3" t="s">
        <v>158</v>
      </c>
      <c r="E134" s="9" t="s">
        <v>159</v>
      </c>
      <c r="F134" s="9"/>
      <c r="G134" s="5">
        <v>0</v>
      </c>
      <c r="H134" s="3"/>
      <c r="I134" s="3"/>
      <c r="J134" s="9" t="s">
        <v>182</v>
      </c>
      <c r="K134" s="9"/>
      <c r="L134" s="3" t="s">
        <v>160</v>
      </c>
      <c r="M134" s="9" t="s">
        <v>161</v>
      </c>
      <c r="N134" s="9"/>
    </row>
    <row r="135" spans="1:14" ht="15" customHeight="1" x14ac:dyDescent="0.2">
      <c r="A135" s="1" t="s">
        <v>183</v>
      </c>
      <c r="B135" s="6">
        <v>19</v>
      </c>
      <c r="C135" s="1" t="s">
        <v>5</v>
      </c>
      <c r="D135" s="1" t="s">
        <v>163</v>
      </c>
      <c r="E135" s="10" t="s">
        <v>159</v>
      </c>
      <c r="F135" s="10"/>
      <c r="G135" s="7">
        <v>0</v>
      </c>
      <c r="H135" s="1"/>
      <c r="I135" s="1"/>
      <c r="J135" s="10" t="s">
        <v>183</v>
      </c>
      <c r="K135" s="10"/>
      <c r="L135" s="1" t="s">
        <v>160</v>
      </c>
      <c r="M135" s="10"/>
      <c r="N135" s="10"/>
    </row>
    <row r="136" spans="1:14" ht="15" customHeight="1" x14ac:dyDescent="0.2">
      <c r="A136" s="3" t="s">
        <v>184</v>
      </c>
      <c r="B136" s="4">
        <v>20</v>
      </c>
      <c r="C136" s="3" t="s">
        <v>5</v>
      </c>
      <c r="D136" s="3" t="s">
        <v>158</v>
      </c>
      <c r="E136" s="9" t="s">
        <v>159</v>
      </c>
      <c r="F136" s="9"/>
      <c r="G136" s="5">
        <v>0</v>
      </c>
      <c r="H136" s="3"/>
      <c r="I136" s="3"/>
      <c r="J136" s="9" t="s">
        <v>184</v>
      </c>
      <c r="K136" s="9"/>
      <c r="L136" s="3" t="s">
        <v>160</v>
      </c>
      <c r="M136" s="9" t="s">
        <v>161</v>
      </c>
      <c r="N136" s="9"/>
    </row>
    <row r="137" spans="1:14" ht="15" customHeight="1" x14ac:dyDescent="0.2">
      <c r="A137" s="1" t="s">
        <v>185</v>
      </c>
      <c r="B137" s="6">
        <v>21</v>
      </c>
      <c r="C137" s="1" t="s">
        <v>5</v>
      </c>
      <c r="D137" s="1" t="s">
        <v>163</v>
      </c>
      <c r="E137" s="10" t="s">
        <v>159</v>
      </c>
      <c r="F137" s="10"/>
      <c r="G137" s="7">
        <v>0</v>
      </c>
      <c r="H137" s="1"/>
      <c r="I137" s="1"/>
      <c r="J137" s="10" t="s">
        <v>185</v>
      </c>
      <c r="K137" s="10"/>
      <c r="L137" s="1" t="s">
        <v>160</v>
      </c>
      <c r="M137" s="10" t="s">
        <v>186</v>
      </c>
      <c r="N137" s="10"/>
    </row>
    <row r="138" spans="1:14" ht="15" customHeight="1" x14ac:dyDescent="0.2">
      <c r="A138" s="3" t="s">
        <v>187</v>
      </c>
      <c r="B138" s="4">
        <v>22</v>
      </c>
      <c r="C138" s="3" t="s">
        <v>5</v>
      </c>
      <c r="D138" s="3" t="s">
        <v>158</v>
      </c>
      <c r="E138" s="9" t="s">
        <v>159</v>
      </c>
      <c r="F138" s="9"/>
      <c r="G138" s="5">
        <v>0</v>
      </c>
      <c r="H138" s="3"/>
      <c r="I138" s="3"/>
      <c r="J138" s="9" t="s">
        <v>187</v>
      </c>
      <c r="K138" s="9"/>
      <c r="L138" s="3" t="s">
        <v>160</v>
      </c>
      <c r="M138" s="9" t="s">
        <v>161</v>
      </c>
      <c r="N138" s="9"/>
    </row>
    <row r="139" spans="1:14" ht="15" customHeight="1" x14ac:dyDescent="0.2">
      <c r="A139" s="1" t="s">
        <v>188</v>
      </c>
      <c r="B139" s="6">
        <v>23</v>
      </c>
      <c r="C139" s="1" t="s">
        <v>5</v>
      </c>
      <c r="D139" s="1" t="s">
        <v>163</v>
      </c>
      <c r="E139" s="10" t="s">
        <v>159</v>
      </c>
      <c r="F139" s="10"/>
      <c r="G139" s="7">
        <v>0</v>
      </c>
      <c r="H139" s="1"/>
      <c r="I139" s="1"/>
      <c r="J139" s="10" t="s">
        <v>188</v>
      </c>
      <c r="K139" s="10"/>
      <c r="L139" s="1" t="s">
        <v>160</v>
      </c>
      <c r="M139" s="10" t="s">
        <v>189</v>
      </c>
      <c r="N139" s="10"/>
    </row>
    <row r="140" spans="1:14" ht="15" customHeight="1" x14ac:dyDescent="0.2">
      <c r="A140" s="3" t="s">
        <v>190</v>
      </c>
      <c r="B140" s="4">
        <v>24</v>
      </c>
      <c r="C140" s="3" t="s">
        <v>5</v>
      </c>
      <c r="D140" s="3" t="s">
        <v>158</v>
      </c>
      <c r="E140" s="9" t="s">
        <v>159</v>
      </c>
      <c r="F140" s="9"/>
      <c r="G140" s="5">
        <v>0</v>
      </c>
      <c r="H140" s="3"/>
      <c r="I140" s="3"/>
      <c r="J140" s="9" t="s">
        <v>190</v>
      </c>
      <c r="K140" s="9"/>
      <c r="L140" s="3" t="s">
        <v>160</v>
      </c>
      <c r="M140" s="9" t="s">
        <v>161</v>
      </c>
      <c r="N140" s="9"/>
    </row>
    <row r="141" spans="1:14" ht="15" customHeight="1" x14ac:dyDescent="0.2">
      <c r="A141" s="1" t="s">
        <v>191</v>
      </c>
      <c r="B141" s="6">
        <v>25</v>
      </c>
      <c r="C141" s="1" t="s">
        <v>5</v>
      </c>
      <c r="D141" s="1" t="s">
        <v>163</v>
      </c>
      <c r="E141" s="10" t="s">
        <v>159</v>
      </c>
      <c r="F141" s="10"/>
      <c r="G141" s="7">
        <v>0</v>
      </c>
      <c r="H141" s="1"/>
      <c r="I141" s="1"/>
      <c r="J141" s="10" t="s">
        <v>191</v>
      </c>
      <c r="K141" s="10"/>
      <c r="L141" s="1" t="s">
        <v>160</v>
      </c>
      <c r="M141" s="10"/>
      <c r="N141" s="10"/>
    </row>
    <row r="142" spans="1:14" ht="15" customHeight="1" x14ac:dyDescent="0.2">
      <c r="A142" s="3" t="s">
        <v>192</v>
      </c>
      <c r="B142" s="4">
        <v>26</v>
      </c>
      <c r="C142" s="3" t="s">
        <v>5</v>
      </c>
      <c r="D142" s="3" t="s">
        <v>158</v>
      </c>
      <c r="E142" s="9" t="s">
        <v>159</v>
      </c>
      <c r="F142" s="9"/>
      <c r="G142" s="5">
        <v>0</v>
      </c>
      <c r="H142" s="3"/>
      <c r="I142" s="3"/>
      <c r="J142" s="9" t="s">
        <v>192</v>
      </c>
      <c r="K142" s="9"/>
      <c r="L142" s="3" t="s">
        <v>160</v>
      </c>
      <c r="M142" s="9" t="s">
        <v>161</v>
      </c>
      <c r="N142" s="9"/>
    </row>
    <row r="143" spans="1:14" ht="15" customHeight="1" x14ac:dyDescent="0.2">
      <c r="A143" s="1" t="s">
        <v>193</v>
      </c>
      <c r="B143" s="6">
        <v>27</v>
      </c>
      <c r="C143" s="1" t="s">
        <v>5</v>
      </c>
      <c r="D143" s="1" t="s">
        <v>163</v>
      </c>
      <c r="E143" s="10" t="s">
        <v>159</v>
      </c>
      <c r="F143" s="10"/>
      <c r="G143" s="7">
        <v>0</v>
      </c>
      <c r="H143" s="1"/>
      <c r="I143" s="1"/>
      <c r="J143" s="10" t="s">
        <v>193</v>
      </c>
      <c r="K143" s="10"/>
      <c r="L143" s="1" t="s">
        <v>160</v>
      </c>
      <c r="M143" s="10"/>
      <c r="N143" s="10"/>
    </row>
    <row r="144" spans="1:14" ht="15" customHeight="1" x14ac:dyDescent="0.2">
      <c r="A144" s="3" t="s">
        <v>194</v>
      </c>
      <c r="B144" s="4">
        <v>28</v>
      </c>
      <c r="C144" s="3" t="s">
        <v>5</v>
      </c>
      <c r="D144" s="3" t="s">
        <v>158</v>
      </c>
      <c r="E144" s="9" t="s">
        <v>159</v>
      </c>
      <c r="F144" s="9"/>
      <c r="G144" s="5">
        <v>0</v>
      </c>
      <c r="H144" s="3"/>
      <c r="I144" s="3"/>
      <c r="J144" s="9" t="s">
        <v>194</v>
      </c>
      <c r="K144" s="9"/>
      <c r="L144" s="3" t="s">
        <v>160</v>
      </c>
      <c r="M144" s="9" t="s">
        <v>161</v>
      </c>
      <c r="N144" s="9"/>
    </row>
    <row r="145" spans="1:14" ht="15" customHeight="1" x14ac:dyDescent="0.2">
      <c r="A145" s="1" t="s">
        <v>195</v>
      </c>
      <c r="B145" s="6">
        <v>29</v>
      </c>
      <c r="C145" s="1" t="s">
        <v>5</v>
      </c>
      <c r="D145" s="1" t="s">
        <v>163</v>
      </c>
      <c r="E145" s="10" t="s">
        <v>159</v>
      </c>
      <c r="F145" s="10"/>
      <c r="G145" s="7">
        <v>0</v>
      </c>
      <c r="H145" s="1"/>
      <c r="I145" s="1"/>
      <c r="J145" s="10" t="s">
        <v>195</v>
      </c>
      <c r="K145" s="10"/>
      <c r="L145" s="1" t="s">
        <v>160</v>
      </c>
      <c r="M145" s="10" t="s">
        <v>196</v>
      </c>
      <c r="N145" s="10"/>
    </row>
    <row r="146" spans="1:14" ht="15" customHeight="1" x14ac:dyDescent="0.2">
      <c r="A146" s="3" t="s">
        <v>197</v>
      </c>
      <c r="B146" s="4">
        <v>30</v>
      </c>
      <c r="C146" s="3" t="s">
        <v>5</v>
      </c>
      <c r="D146" s="3" t="s">
        <v>158</v>
      </c>
      <c r="E146" s="9" t="s">
        <v>159</v>
      </c>
      <c r="F146" s="9"/>
      <c r="G146" s="5">
        <v>0</v>
      </c>
      <c r="H146" s="3"/>
      <c r="I146" s="3"/>
      <c r="J146" s="9" t="s">
        <v>197</v>
      </c>
      <c r="K146" s="9"/>
      <c r="L146" s="3" t="s">
        <v>160</v>
      </c>
      <c r="M146" s="9" t="s">
        <v>161</v>
      </c>
      <c r="N146" s="9"/>
    </row>
    <row r="147" spans="1:14" ht="15" customHeight="1" x14ac:dyDescent="0.2">
      <c r="A147" s="1" t="s">
        <v>198</v>
      </c>
      <c r="B147" s="6">
        <v>31</v>
      </c>
      <c r="C147" s="1" t="s">
        <v>5</v>
      </c>
      <c r="D147" s="1" t="s">
        <v>163</v>
      </c>
      <c r="E147" s="10" t="s">
        <v>159</v>
      </c>
      <c r="F147" s="10"/>
      <c r="G147" s="7">
        <v>0</v>
      </c>
      <c r="H147" s="1"/>
      <c r="I147" s="1"/>
      <c r="J147" s="10" t="s">
        <v>198</v>
      </c>
      <c r="K147" s="10"/>
      <c r="L147" s="1" t="s">
        <v>160</v>
      </c>
      <c r="M147" s="10"/>
      <c r="N147" s="10"/>
    </row>
    <row r="148" spans="1:14" ht="15" customHeight="1" x14ac:dyDescent="0.2">
      <c r="A148" s="3" t="s">
        <v>199</v>
      </c>
      <c r="B148" s="4">
        <v>32</v>
      </c>
      <c r="C148" s="3" t="s">
        <v>5</v>
      </c>
      <c r="D148" s="3" t="s">
        <v>158</v>
      </c>
      <c r="E148" s="9" t="s">
        <v>159</v>
      </c>
      <c r="F148" s="9"/>
      <c r="G148" s="5">
        <v>0</v>
      </c>
      <c r="H148" s="3"/>
      <c r="I148" s="3"/>
      <c r="J148" s="9" t="s">
        <v>199</v>
      </c>
      <c r="K148" s="9"/>
      <c r="L148" s="3" t="s">
        <v>160</v>
      </c>
      <c r="M148" s="9" t="s">
        <v>161</v>
      </c>
      <c r="N148" s="9"/>
    </row>
    <row r="149" spans="1:14" ht="15" customHeight="1" x14ac:dyDescent="0.2">
      <c r="A149" s="1" t="s">
        <v>200</v>
      </c>
      <c r="B149" s="6">
        <v>33</v>
      </c>
      <c r="C149" s="1" t="s">
        <v>5</v>
      </c>
      <c r="D149" s="1" t="s">
        <v>163</v>
      </c>
      <c r="E149" s="10" t="s">
        <v>159</v>
      </c>
      <c r="F149" s="10"/>
      <c r="G149" s="7">
        <v>0</v>
      </c>
      <c r="H149" s="1"/>
      <c r="I149" s="1"/>
      <c r="J149" s="10" t="s">
        <v>200</v>
      </c>
      <c r="K149" s="10"/>
      <c r="L149" s="1" t="s">
        <v>160</v>
      </c>
      <c r="M149" s="10" t="s">
        <v>201</v>
      </c>
      <c r="N149" s="10"/>
    </row>
    <row r="150" spans="1:14" ht="15" customHeight="1" x14ac:dyDescent="0.2">
      <c r="A150" s="3" t="s">
        <v>202</v>
      </c>
      <c r="B150" s="4">
        <v>34</v>
      </c>
      <c r="C150" s="3" t="s">
        <v>5</v>
      </c>
      <c r="D150" s="3" t="s">
        <v>158</v>
      </c>
      <c r="E150" s="9" t="s">
        <v>159</v>
      </c>
      <c r="F150" s="9"/>
      <c r="G150" s="5">
        <v>0</v>
      </c>
      <c r="H150" s="3"/>
      <c r="I150" s="3"/>
      <c r="J150" s="9" t="s">
        <v>202</v>
      </c>
      <c r="K150" s="9"/>
      <c r="L150" s="3" t="s">
        <v>160</v>
      </c>
      <c r="M150" s="9" t="s">
        <v>161</v>
      </c>
      <c r="N150" s="9"/>
    </row>
    <row r="151" spans="1:14" ht="15" customHeight="1" x14ac:dyDescent="0.2">
      <c r="A151" s="1" t="s">
        <v>203</v>
      </c>
      <c r="B151" s="6">
        <v>35</v>
      </c>
      <c r="C151" s="1" t="s">
        <v>5</v>
      </c>
      <c r="D151" s="1" t="s">
        <v>163</v>
      </c>
      <c r="E151" s="10" t="s">
        <v>159</v>
      </c>
      <c r="F151" s="10"/>
      <c r="G151" s="7">
        <v>0</v>
      </c>
      <c r="H151" s="1"/>
      <c r="I151" s="1"/>
      <c r="J151" s="10" t="s">
        <v>203</v>
      </c>
      <c r="K151" s="10"/>
      <c r="L151" s="1" t="s">
        <v>160</v>
      </c>
      <c r="M151" s="10"/>
      <c r="N151" s="10"/>
    </row>
    <row r="152" spans="1:14" ht="15" customHeight="1" x14ac:dyDescent="0.2">
      <c r="A152" s="3" t="s">
        <v>204</v>
      </c>
      <c r="B152" s="4">
        <v>36</v>
      </c>
      <c r="C152" s="3" t="s">
        <v>5</v>
      </c>
      <c r="D152" s="3" t="s">
        <v>158</v>
      </c>
      <c r="E152" s="9" t="s">
        <v>159</v>
      </c>
      <c r="F152" s="9"/>
      <c r="G152" s="5">
        <v>0</v>
      </c>
      <c r="H152" s="3"/>
      <c r="I152" s="3"/>
      <c r="J152" s="9" t="s">
        <v>204</v>
      </c>
      <c r="K152" s="9"/>
      <c r="L152" s="3" t="s">
        <v>160</v>
      </c>
      <c r="M152" s="9" t="s">
        <v>161</v>
      </c>
      <c r="N152" s="9"/>
    </row>
    <row r="153" spans="1:14" ht="15" customHeight="1" x14ac:dyDescent="0.2">
      <c r="A153" s="1" t="s">
        <v>205</v>
      </c>
      <c r="B153" s="6">
        <v>37</v>
      </c>
      <c r="C153" s="1" t="s">
        <v>5</v>
      </c>
      <c r="D153" s="1" t="s">
        <v>163</v>
      </c>
      <c r="E153" s="10" t="s">
        <v>159</v>
      </c>
      <c r="F153" s="10"/>
      <c r="G153" s="7">
        <v>0</v>
      </c>
      <c r="H153" s="1"/>
      <c r="I153" s="1"/>
      <c r="J153" s="10" t="s">
        <v>205</v>
      </c>
      <c r="K153" s="10"/>
      <c r="L153" s="1" t="s">
        <v>160</v>
      </c>
      <c r="M153" s="10" t="s">
        <v>206</v>
      </c>
      <c r="N153" s="10"/>
    </row>
    <row r="154" spans="1:14" ht="15" customHeight="1" x14ac:dyDescent="0.2">
      <c r="A154" s="3" t="s">
        <v>207</v>
      </c>
      <c r="B154" s="4">
        <v>38</v>
      </c>
      <c r="C154" s="3" t="s">
        <v>5</v>
      </c>
      <c r="D154" s="3" t="s">
        <v>158</v>
      </c>
      <c r="E154" s="9" t="s">
        <v>159</v>
      </c>
      <c r="F154" s="9"/>
      <c r="G154" s="5">
        <v>0</v>
      </c>
      <c r="H154" s="3"/>
      <c r="I154" s="3"/>
      <c r="J154" s="9" t="s">
        <v>207</v>
      </c>
      <c r="K154" s="9"/>
      <c r="L154" s="3" t="s">
        <v>160</v>
      </c>
      <c r="M154" s="9" t="s">
        <v>161</v>
      </c>
      <c r="N154" s="9"/>
    </row>
    <row r="155" spans="1:14" ht="15" customHeight="1" x14ac:dyDescent="0.2">
      <c r="A155" s="1" t="s">
        <v>208</v>
      </c>
      <c r="B155" s="6">
        <v>39</v>
      </c>
      <c r="C155" s="1" t="s">
        <v>5</v>
      </c>
      <c r="D155" s="1" t="s">
        <v>163</v>
      </c>
      <c r="E155" s="10" t="s">
        <v>159</v>
      </c>
      <c r="F155" s="10"/>
      <c r="G155" s="7">
        <v>0</v>
      </c>
      <c r="H155" s="1"/>
      <c r="I155" s="1"/>
      <c r="J155" s="10" t="s">
        <v>208</v>
      </c>
      <c r="K155" s="10"/>
      <c r="L155" s="1" t="s">
        <v>160</v>
      </c>
      <c r="M155" s="10" t="s">
        <v>209</v>
      </c>
      <c r="N155" s="10"/>
    </row>
    <row r="156" spans="1:14" ht="15" customHeight="1" x14ac:dyDescent="0.2">
      <c r="A156" s="3" t="s">
        <v>210</v>
      </c>
      <c r="B156" s="4">
        <v>40</v>
      </c>
      <c r="C156" s="3" t="s">
        <v>5</v>
      </c>
      <c r="D156" s="3" t="s">
        <v>158</v>
      </c>
      <c r="E156" s="9" t="s">
        <v>159</v>
      </c>
      <c r="F156" s="9"/>
      <c r="G156" s="5">
        <v>0</v>
      </c>
      <c r="H156" s="3"/>
      <c r="I156" s="3"/>
      <c r="J156" s="9" t="s">
        <v>210</v>
      </c>
      <c r="K156" s="9"/>
      <c r="L156" s="3" t="s">
        <v>160</v>
      </c>
      <c r="M156" s="9" t="s">
        <v>161</v>
      </c>
      <c r="N156" s="9"/>
    </row>
    <row r="157" spans="1:14" ht="15" customHeight="1" x14ac:dyDescent="0.2">
      <c r="A157" s="1" t="s">
        <v>211</v>
      </c>
      <c r="B157" s="6">
        <v>41</v>
      </c>
      <c r="C157" s="1" t="s">
        <v>5</v>
      </c>
      <c r="D157" s="1" t="s">
        <v>163</v>
      </c>
      <c r="E157" s="10" t="s">
        <v>159</v>
      </c>
      <c r="F157" s="10"/>
      <c r="G157" s="7">
        <v>0</v>
      </c>
      <c r="H157" s="1"/>
      <c r="I157" s="1"/>
      <c r="J157" s="10" t="s">
        <v>211</v>
      </c>
      <c r="K157" s="10"/>
      <c r="L157" s="1" t="s">
        <v>160</v>
      </c>
      <c r="M157" s="10"/>
      <c r="N157" s="10"/>
    </row>
    <row r="158" spans="1:14" ht="15" customHeight="1" x14ac:dyDescent="0.2">
      <c r="A158" s="3" t="s">
        <v>212</v>
      </c>
      <c r="B158" s="4">
        <v>42</v>
      </c>
      <c r="C158" s="3" t="s">
        <v>5</v>
      </c>
      <c r="D158" s="3" t="s">
        <v>158</v>
      </c>
      <c r="E158" s="9" t="s">
        <v>159</v>
      </c>
      <c r="F158" s="9"/>
      <c r="G158" s="5">
        <v>0</v>
      </c>
      <c r="H158" s="3"/>
      <c r="I158" s="3"/>
      <c r="J158" s="9" t="s">
        <v>212</v>
      </c>
      <c r="K158" s="9"/>
      <c r="L158" s="3" t="s">
        <v>160</v>
      </c>
      <c r="M158" s="9" t="s">
        <v>161</v>
      </c>
      <c r="N158" s="9"/>
    </row>
    <row r="159" spans="1:14" ht="15" customHeight="1" x14ac:dyDescent="0.2">
      <c r="A159" s="1" t="s">
        <v>213</v>
      </c>
      <c r="B159" s="6">
        <v>43</v>
      </c>
      <c r="C159" s="1" t="s">
        <v>5</v>
      </c>
      <c r="D159" s="1" t="s">
        <v>163</v>
      </c>
      <c r="E159" s="10" t="s">
        <v>159</v>
      </c>
      <c r="F159" s="10"/>
      <c r="G159" s="7">
        <v>0</v>
      </c>
      <c r="H159" s="1"/>
      <c r="I159" s="1"/>
      <c r="J159" s="10" t="s">
        <v>213</v>
      </c>
      <c r="K159" s="10"/>
      <c r="L159" s="1" t="s">
        <v>160</v>
      </c>
      <c r="M159" s="10"/>
      <c r="N159" s="10"/>
    </row>
    <row r="160" spans="1:14" ht="15" customHeight="1" x14ac:dyDescent="0.2">
      <c r="A160" s="3" t="s">
        <v>214</v>
      </c>
      <c r="B160" s="4">
        <v>44</v>
      </c>
      <c r="C160" s="3" t="s">
        <v>5</v>
      </c>
      <c r="D160" s="3" t="s">
        <v>158</v>
      </c>
      <c r="E160" s="9" t="s">
        <v>159</v>
      </c>
      <c r="F160" s="9"/>
      <c r="G160" s="5">
        <v>0</v>
      </c>
      <c r="H160" s="3"/>
      <c r="I160" s="3"/>
      <c r="J160" s="9" t="s">
        <v>214</v>
      </c>
      <c r="K160" s="9"/>
      <c r="L160" s="3" t="s">
        <v>160</v>
      </c>
      <c r="M160" s="9" t="s">
        <v>161</v>
      </c>
      <c r="N160" s="9"/>
    </row>
    <row r="161" spans="1:14" ht="15" customHeight="1" x14ac:dyDescent="0.2">
      <c r="A161" s="1" t="s">
        <v>215</v>
      </c>
      <c r="B161" s="6">
        <v>45</v>
      </c>
      <c r="C161" s="1" t="s">
        <v>5</v>
      </c>
      <c r="D161" s="1" t="s">
        <v>163</v>
      </c>
      <c r="E161" s="10" t="s">
        <v>159</v>
      </c>
      <c r="F161" s="10"/>
      <c r="G161" s="7">
        <v>0</v>
      </c>
      <c r="H161" s="1"/>
      <c r="I161" s="1"/>
      <c r="J161" s="10" t="s">
        <v>215</v>
      </c>
      <c r="K161" s="10"/>
      <c r="L161" s="1" t="s">
        <v>160</v>
      </c>
      <c r="M161" s="10" t="s">
        <v>216</v>
      </c>
      <c r="N161" s="10"/>
    </row>
    <row r="162" spans="1:14" ht="15" customHeight="1" x14ac:dyDescent="0.2">
      <c r="A162" s="3" t="s">
        <v>217</v>
      </c>
      <c r="B162" s="4">
        <v>46</v>
      </c>
      <c r="C162" s="3" t="s">
        <v>5</v>
      </c>
      <c r="D162" s="3" t="s">
        <v>158</v>
      </c>
      <c r="E162" s="9" t="s">
        <v>159</v>
      </c>
      <c r="F162" s="9"/>
      <c r="G162" s="5">
        <v>0</v>
      </c>
      <c r="H162" s="3"/>
      <c r="I162" s="3"/>
      <c r="J162" s="9" t="s">
        <v>217</v>
      </c>
      <c r="K162" s="9"/>
      <c r="L162" s="3" t="s">
        <v>160</v>
      </c>
      <c r="M162" s="9" t="s">
        <v>161</v>
      </c>
      <c r="N162" s="9"/>
    </row>
    <row r="163" spans="1:14" ht="15" customHeight="1" x14ac:dyDescent="0.2">
      <c r="A163" s="1" t="s">
        <v>218</v>
      </c>
      <c r="B163" s="6">
        <v>47</v>
      </c>
      <c r="C163" s="1" t="s">
        <v>5</v>
      </c>
      <c r="D163" s="1" t="s">
        <v>163</v>
      </c>
      <c r="E163" s="10" t="s">
        <v>159</v>
      </c>
      <c r="F163" s="10"/>
      <c r="G163" s="7">
        <v>0</v>
      </c>
      <c r="H163" s="1"/>
      <c r="I163" s="1"/>
      <c r="J163" s="10" t="s">
        <v>218</v>
      </c>
      <c r="K163" s="10"/>
      <c r="L163" s="1" t="s">
        <v>160</v>
      </c>
      <c r="M163" s="10"/>
      <c r="N163" s="10"/>
    </row>
    <row r="164" spans="1:14" ht="15" customHeight="1" x14ac:dyDescent="0.2">
      <c r="A164" s="3" t="s">
        <v>219</v>
      </c>
      <c r="B164" s="4">
        <v>48</v>
      </c>
      <c r="C164" s="3" t="s">
        <v>5</v>
      </c>
      <c r="D164" s="3" t="s">
        <v>158</v>
      </c>
      <c r="E164" s="9" t="s">
        <v>159</v>
      </c>
      <c r="F164" s="9"/>
      <c r="G164" s="5">
        <v>0</v>
      </c>
      <c r="H164" s="3"/>
      <c r="I164" s="3"/>
      <c r="J164" s="9" t="s">
        <v>219</v>
      </c>
      <c r="K164" s="9"/>
      <c r="L164" s="3" t="s">
        <v>160</v>
      </c>
      <c r="M164" s="9" t="s">
        <v>161</v>
      </c>
      <c r="N164" s="9"/>
    </row>
    <row r="165" spans="1:14" ht="15" customHeight="1" x14ac:dyDescent="0.2">
      <c r="A165" s="1" t="s">
        <v>220</v>
      </c>
      <c r="B165" s="6">
        <v>49</v>
      </c>
      <c r="C165" s="1" t="s">
        <v>5</v>
      </c>
      <c r="D165" s="1" t="s">
        <v>163</v>
      </c>
      <c r="E165" s="10" t="s">
        <v>159</v>
      </c>
      <c r="F165" s="10"/>
      <c r="G165" s="7">
        <v>0</v>
      </c>
      <c r="H165" s="1"/>
      <c r="I165" s="1"/>
      <c r="J165" s="10" t="s">
        <v>220</v>
      </c>
      <c r="K165" s="10"/>
      <c r="L165" s="1" t="s">
        <v>160</v>
      </c>
      <c r="M165" s="10"/>
      <c r="N165" s="10"/>
    </row>
    <row r="166" spans="1:14" ht="15" customHeight="1" x14ac:dyDescent="0.2">
      <c r="A166" s="3" t="s">
        <v>221</v>
      </c>
      <c r="B166" s="4">
        <v>50</v>
      </c>
      <c r="C166" s="3" t="s">
        <v>5</v>
      </c>
      <c r="D166" s="3" t="s">
        <v>158</v>
      </c>
      <c r="E166" s="9" t="s">
        <v>159</v>
      </c>
      <c r="F166" s="9"/>
      <c r="G166" s="5">
        <v>0</v>
      </c>
      <c r="H166" s="3"/>
      <c r="I166" s="3"/>
      <c r="J166" s="9" t="s">
        <v>221</v>
      </c>
      <c r="K166" s="9"/>
      <c r="L166" s="3" t="s">
        <v>160</v>
      </c>
      <c r="M166" s="9" t="s">
        <v>161</v>
      </c>
      <c r="N166" s="9"/>
    </row>
    <row r="167" spans="1:14" ht="15" customHeight="1" x14ac:dyDescent="0.2">
      <c r="A167" s="1" t="s">
        <v>222</v>
      </c>
      <c r="B167" s="6">
        <v>51</v>
      </c>
      <c r="C167" s="1" t="s">
        <v>5</v>
      </c>
      <c r="D167" s="1" t="s">
        <v>163</v>
      </c>
      <c r="E167" s="10" t="s">
        <v>159</v>
      </c>
      <c r="F167" s="10"/>
      <c r="G167" s="7">
        <v>0</v>
      </c>
      <c r="H167" s="1"/>
      <c r="I167" s="1"/>
      <c r="J167" s="10" t="s">
        <v>222</v>
      </c>
      <c r="K167" s="10"/>
      <c r="L167" s="1" t="s">
        <v>160</v>
      </c>
      <c r="M167" s="10" t="s">
        <v>223</v>
      </c>
      <c r="N167" s="10"/>
    </row>
    <row r="168" spans="1:14" ht="15" customHeight="1" x14ac:dyDescent="0.2">
      <c r="A168" s="3" t="s">
        <v>224</v>
      </c>
      <c r="B168" s="4">
        <v>52</v>
      </c>
      <c r="C168" s="3" t="s">
        <v>5</v>
      </c>
      <c r="D168" s="3" t="s">
        <v>158</v>
      </c>
      <c r="E168" s="9" t="s">
        <v>159</v>
      </c>
      <c r="F168" s="9"/>
      <c r="G168" s="5">
        <v>0</v>
      </c>
      <c r="H168" s="3"/>
      <c r="I168" s="3"/>
      <c r="J168" s="9" t="s">
        <v>224</v>
      </c>
      <c r="K168" s="9"/>
      <c r="L168" s="3" t="s">
        <v>160</v>
      </c>
      <c r="M168" s="9" t="s">
        <v>161</v>
      </c>
      <c r="N168" s="9"/>
    </row>
    <row r="169" spans="1:14" ht="15" customHeight="1" x14ac:dyDescent="0.2">
      <c r="A169" s="1" t="s">
        <v>225</v>
      </c>
      <c r="B169" s="6">
        <v>53</v>
      </c>
      <c r="C169" s="1" t="s">
        <v>5</v>
      </c>
      <c r="D169" s="1" t="s">
        <v>163</v>
      </c>
      <c r="E169" s="10" t="s">
        <v>159</v>
      </c>
      <c r="F169" s="10"/>
      <c r="G169" s="7">
        <v>0</v>
      </c>
      <c r="H169" s="1"/>
      <c r="I169" s="1"/>
      <c r="J169" s="10" t="s">
        <v>225</v>
      </c>
      <c r="K169" s="10"/>
      <c r="L169" s="1" t="s">
        <v>160</v>
      </c>
      <c r="M169" s="10" t="s">
        <v>226</v>
      </c>
      <c r="N169" s="10"/>
    </row>
    <row r="170" spans="1:14" ht="15" customHeight="1" x14ac:dyDescent="0.2">
      <c r="A170" s="3" t="s">
        <v>227</v>
      </c>
      <c r="B170" s="4">
        <v>54</v>
      </c>
      <c r="C170" s="3" t="s">
        <v>5</v>
      </c>
      <c r="D170" s="3" t="s">
        <v>158</v>
      </c>
      <c r="E170" s="9" t="s">
        <v>159</v>
      </c>
      <c r="F170" s="9"/>
      <c r="G170" s="5">
        <v>0</v>
      </c>
      <c r="H170" s="3"/>
      <c r="I170" s="3"/>
      <c r="J170" s="9" t="s">
        <v>227</v>
      </c>
      <c r="K170" s="9"/>
      <c r="L170" s="3" t="s">
        <v>160</v>
      </c>
      <c r="M170" s="9" t="s">
        <v>161</v>
      </c>
      <c r="N170" s="9"/>
    </row>
    <row r="171" spans="1:14" ht="15" customHeight="1" x14ac:dyDescent="0.2">
      <c r="A171" s="1" t="s">
        <v>228</v>
      </c>
      <c r="B171" s="6">
        <v>55</v>
      </c>
      <c r="C171" s="1" t="s">
        <v>5</v>
      </c>
      <c r="D171" s="1" t="s">
        <v>163</v>
      </c>
      <c r="E171" s="10" t="s">
        <v>159</v>
      </c>
      <c r="F171" s="10"/>
      <c r="G171" s="7">
        <v>0</v>
      </c>
      <c r="H171" s="1"/>
      <c r="I171" s="1"/>
      <c r="J171" s="10" t="s">
        <v>228</v>
      </c>
      <c r="K171" s="10"/>
      <c r="L171" s="1" t="s">
        <v>160</v>
      </c>
      <c r="M171" s="10"/>
      <c r="N171" s="10"/>
    </row>
    <row r="172" spans="1:14" ht="15" customHeight="1" x14ac:dyDescent="0.2">
      <c r="A172" s="3" t="s">
        <v>229</v>
      </c>
      <c r="B172" s="4">
        <v>56</v>
      </c>
      <c r="C172" s="3" t="s">
        <v>5</v>
      </c>
      <c r="D172" s="3" t="s">
        <v>158</v>
      </c>
      <c r="E172" s="9" t="s">
        <v>159</v>
      </c>
      <c r="F172" s="9"/>
      <c r="G172" s="5">
        <v>0</v>
      </c>
      <c r="H172" s="3"/>
      <c r="I172" s="3"/>
      <c r="J172" s="9" t="s">
        <v>229</v>
      </c>
      <c r="K172" s="9"/>
      <c r="L172" s="3" t="s">
        <v>160</v>
      </c>
      <c r="M172" s="9" t="s">
        <v>161</v>
      </c>
      <c r="N172" s="9"/>
    </row>
    <row r="173" spans="1:14" ht="15" customHeight="1" x14ac:dyDescent="0.2">
      <c r="A173" s="1" t="s">
        <v>230</v>
      </c>
      <c r="B173" s="6">
        <v>57</v>
      </c>
      <c r="C173" s="1" t="s">
        <v>5</v>
      </c>
      <c r="D173" s="1" t="s">
        <v>163</v>
      </c>
      <c r="E173" s="10" t="s">
        <v>159</v>
      </c>
      <c r="F173" s="10"/>
      <c r="G173" s="7">
        <v>0</v>
      </c>
      <c r="H173" s="1"/>
      <c r="I173" s="1"/>
      <c r="J173" s="10" t="s">
        <v>230</v>
      </c>
      <c r="K173" s="10"/>
      <c r="L173" s="1" t="s">
        <v>160</v>
      </c>
      <c r="M173" s="10" t="s">
        <v>231</v>
      </c>
      <c r="N173" s="10"/>
    </row>
    <row r="174" spans="1:14" ht="15" customHeight="1" x14ac:dyDescent="0.2">
      <c r="A174" s="3" t="s">
        <v>232</v>
      </c>
      <c r="B174" s="4">
        <v>58</v>
      </c>
      <c r="C174" s="3" t="s">
        <v>5</v>
      </c>
      <c r="D174" s="3" t="s">
        <v>158</v>
      </c>
      <c r="E174" s="9" t="s">
        <v>159</v>
      </c>
      <c r="F174" s="9"/>
      <c r="G174" s="5">
        <v>0</v>
      </c>
      <c r="H174" s="3"/>
      <c r="I174" s="3"/>
      <c r="J174" s="9" t="s">
        <v>232</v>
      </c>
      <c r="K174" s="9"/>
      <c r="L174" s="3" t="s">
        <v>160</v>
      </c>
      <c r="M174" s="9" t="s">
        <v>161</v>
      </c>
      <c r="N174" s="9"/>
    </row>
    <row r="175" spans="1:14" ht="15" customHeight="1" x14ac:dyDescent="0.2">
      <c r="A175" s="1" t="s">
        <v>233</v>
      </c>
      <c r="B175" s="6">
        <v>59</v>
      </c>
      <c r="C175" s="1" t="s">
        <v>5</v>
      </c>
      <c r="D175" s="1" t="s">
        <v>163</v>
      </c>
      <c r="E175" s="10" t="s">
        <v>159</v>
      </c>
      <c r="F175" s="10"/>
      <c r="G175" s="7">
        <v>0</v>
      </c>
      <c r="H175" s="1"/>
      <c r="I175" s="1"/>
      <c r="J175" s="10" t="s">
        <v>233</v>
      </c>
      <c r="K175" s="10"/>
      <c r="L175" s="1" t="s">
        <v>160</v>
      </c>
      <c r="M175" s="10" t="s">
        <v>234</v>
      </c>
      <c r="N175" s="10"/>
    </row>
    <row r="176" spans="1:14" ht="15" customHeight="1" x14ac:dyDescent="0.2">
      <c r="A176" s="3" t="s">
        <v>235</v>
      </c>
      <c r="B176" s="4">
        <v>60</v>
      </c>
      <c r="C176" s="3" t="s">
        <v>5</v>
      </c>
      <c r="D176" s="3" t="s">
        <v>158</v>
      </c>
      <c r="E176" s="9" t="s">
        <v>159</v>
      </c>
      <c r="F176" s="9"/>
      <c r="G176" s="5">
        <v>0</v>
      </c>
      <c r="H176" s="3"/>
      <c r="I176" s="3"/>
      <c r="J176" s="9" t="s">
        <v>235</v>
      </c>
      <c r="K176" s="9"/>
      <c r="L176" s="3" t="s">
        <v>160</v>
      </c>
      <c r="M176" s="9" t="s">
        <v>161</v>
      </c>
      <c r="N176" s="9"/>
    </row>
    <row r="177" spans="1:14" ht="15" customHeight="1" x14ac:dyDescent="0.2">
      <c r="A177" s="1" t="s">
        <v>236</v>
      </c>
      <c r="B177" s="6">
        <v>61</v>
      </c>
      <c r="C177" s="1" t="s">
        <v>5</v>
      </c>
      <c r="D177" s="1" t="s">
        <v>163</v>
      </c>
      <c r="E177" s="10" t="s">
        <v>159</v>
      </c>
      <c r="F177" s="10"/>
      <c r="G177" s="7">
        <v>0</v>
      </c>
      <c r="H177" s="1"/>
      <c r="I177" s="1"/>
      <c r="J177" s="10" t="s">
        <v>236</v>
      </c>
      <c r="K177" s="10"/>
      <c r="L177" s="1" t="s">
        <v>160</v>
      </c>
      <c r="M177" s="10" t="s">
        <v>237</v>
      </c>
      <c r="N177" s="10"/>
    </row>
    <row r="178" spans="1:14" ht="15" customHeight="1" x14ac:dyDescent="0.2">
      <c r="A178" s="3" t="s">
        <v>238</v>
      </c>
      <c r="B178" s="4">
        <v>62</v>
      </c>
      <c r="C178" s="3" t="s">
        <v>5</v>
      </c>
      <c r="D178" s="3" t="s">
        <v>158</v>
      </c>
      <c r="E178" s="9" t="s">
        <v>159</v>
      </c>
      <c r="F178" s="9"/>
      <c r="G178" s="5">
        <v>0</v>
      </c>
      <c r="H178" s="3"/>
      <c r="I178" s="3"/>
      <c r="J178" s="9" t="s">
        <v>238</v>
      </c>
      <c r="K178" s="9"/>
      <c r="L178" s="3" t="s">
        <v>160</v>
      </c>
      <c r="M178" s="9" t="s">
        <v>161</v>
      </c>
      <c r="N178" s="9"/>
    </row>
    <row r="179" spans="1:14" ht="15" customHeight="1" x14ac:dyDescent="0.2">
      <c r="A179" s="1" t="s">
        <v>239</v>
      </c>
      <c r="B179" s="6">
        <v>63</v>
      </c>
      <c r="C179" s="1" t="s">
        <v>5</v>
      </c>
      <c r="D179" s="1" t="s">
        <v>163</v>
      </c>
      <c r="E179" s="10" t="s">
        <v>159</v>
      </c>
      <c r="F179" s="10"/>
      <c r="G179" s="7">
        <v>0</v>
      </c>
      <c r="H179" s="1"/>
      <c r="I179" s="1"/>
      <c r="J179" s="10" t="s">
        <v>239</v>
      </c>
      <c r="K179" s="10"/>
      <c r="L179" s="1" t="s">
        <v>160</v>
      </c>
      <c r="M179" s="10" t="s">
        <v>240</v>
      </c>
      <c r="N179" s="10"/>
    </row>
    <row r="180" spans="1:14" ht="15" customHeight="1" x14ac:dyDescent="0.2">
      <c r="A180" s="3" t="s">
        <v>241</v>
      </c>
      <c r="B180" s="4">
        <v>64</v>
      </c>
      <c r="C180" s="3" t="s">
        <v>5</v>
      </c>
      <c r="D180" s="3" t="s">
        <v>158</v>
      </c>
      <c r="E180" s="9" t="s">
        <v>159</v>
      </c>
      <c r="F180" s="9"/>
      <c r="G180" s="5">
        <v>0</v>
      </c>
      <c r="H180" s="3"/>
      <c r="I180" s="3"/>
      <c r="J180" s="9" t="s">
        <v>241</v>
      </c>
      <c r="K180" s="9"/>
      <c r="L180" s="3" t="s">
        <v>160</v>
      </c>
      <c r="M180" s="9" t="s">
        <v>161</v>
      </c>
      <c r="N180" s="9"/>
    </row>
    <row r="181" spans="1:14" ht="15" customHeight="1" x14ac:dyDescent="0.2">
      <c r="A181" s="1" t="s">
        <v>242</v>
      </c>
      <c r="B181" s="6">
        <v>65</v>
      </c>
      <c r="C181" s="1" t="s">
        <v>5</v>
      </c>
      <c r="D181" s="1" t="s">
        <v>163</v>
      </c>
      <c r="E181" s="10" t="s">
        <v>159</v>
      </c>
      <c r="F181" s="10"/>
      <c r="G181" s="7">
        <v>0</v>
      </c>
      <c r="H181" s="1"/>
      <c r="I181" s="1"/>
      <c r="J181" s="10" t="s">
        <v>242</v>
      </c>
      <c r="K181" s="10"/>
      <c r="L181" s="1" t="s">
        <v>160</v>
      </c>
      <c r="M181" s="10"/>
      <c r="N181" s="10"/>
    </row>
    <row r="182" spans="1:14" ht="15" customHeight="1" x14ac:dyDescent="0.2">
      <c r="A182" s="3" t="s">
        <v>243</v>
      </c>
      <c r="B182" s="4">
        <v>66</v>
      </c>
      <c r="C182" s="3" t="s">
        <v>5</v>
      </c>
      <c r="D182" s="3" t="s">
        <v>158</v>
      </c>
      <c r="E182" s="9" t="s">
        <v>159</v>
      </c>
      <c r="F182" s="9"/>
      <c r="G182" s="5">
        <v>0</v>
      </c>
      <c r="H182" s="3"/>
      <c r="I182" s="3"/>
      <c r="J182" s="9" t="s">
        <v>243</v>
      </c>
      <c r="K182" s="9"/>
      <c r="L182" s="3" t="s">
        <v>160</v>
      </c>
      <c r="M182" s="9" t="s">
        <v>161</v>
      </c>
      <c r="N182" s="9"/>
    </row>
    <row r="183" spans="1:14" ht="15" customHeight="1" x14ac:dyDescent="0.2">
      <c r="A183" s="1" t="s">
        <v>244</v>
      </c>
      <c r="B183" s="6">
        <v>67</v>
      </c>
      <c r="C183" s="1" t="s">
        <v>5</v>
      </c>
      <c r="D183" s="1" t="s">
        <v>163</v>
      </c>
      <c r="E183" s="10" t="s">
        <v>159</v>
      </c>
      <c r="F183" s="10"/>
      <c r="G183" s="7">
        <v>0</v>
      </c>
      <c r="H183" s="1"/>
      <c r="I183" s="1"/>
      <c r="J183" s="10" t="s">
        <v>244</v>
      </c>
      <c r="K183" s="10"/>
      <c r="L183" s="1" t="s">
        <v>160</v>
      </c>
      <c r="M183" s="10" t="s">
        <v>245</v>
      </c>
      <c r="N183" s="10"/>
    </row>
    <row r="184" spans="1:14" ht="15" customHeight="1" x14ac:dyDescent="0.2">
      <c r="A184" s="3" t="s">
        <v>246</v>
      </c>
      <c r="B184" s="4">
        <v>68</v>
      </c>
      <c r="C184" s="3" t="s">
        <v>5</v>
      </c>
      <c r="D184" s="3" t="s">
        <v>158</v>
      </c>
      <c r="E184" s="9" t="s">
        <v>159</v>
      </c>
      <c r="F184" s="9"/>
      <c r="G184" s="5">
        <v>0</v>
      </c>
      <c r="H184" s="3"/>
      <c r="I184" s="3"/>
      <c r="J184" s="9" t="s">
        <v>246</v>
      </c>
      <c r="K184" s="9"/>
      <c r="L184" s="3" t="s">
        <v>160</v>
      </c>
      <c r="M184" s="9" t="s">
        <v>161</v>
      </c>
      <c r="N184" s="9"/>
    </row>
    <row r="185" spans="1:14" ht="15" customHeight="1" x14ac:dyDescent="0.2">
      <c r="A185" s="1" t="s">
        <v>247</v>
      </c>
      <c r="B185" s="6">
        <v>69</v>
      </c>
      <c r="C185" s="1" t="s">
        <v>5</v>
      </c>
      <c r="D185" s="1" t="s">
        <v>163</v>
      </c>
      <c r="E185" s="10" t="s">
        <v>159</v>
      </c>
      <c r="F185" s="10"/>
      <c r="G185" s="7">
        <v>0</v>
      </c>
      <c r="H185" s="1"/>
      <c r="I185" s="1"/>
      <c r="J185" s="10" t="s">
        <v>247</v>
      </c>
      <c r="K185" s="10"/>
      <c r="L185" s="1" t="s">
        <v>160</v>
      </c>
      <c r="M185" s="10" t="s">
        <v>248</v>
      </c>
      <c r="N185" s="10"/>
    </row>
    <row r="186" spans="1:14" ht="15" customHeight="1" x14ac:dyDescent="0.2">
      <c r="A186" s="3" t="s">
        <v>249</v>
      </c>
      <c r="B186" s="4">
        <v>70</v>
      </c>
      <c r="C186" s="3" t="s">
        <v>5</v>
      </c>
      <c r="D186" s="3" t="s">
        <v>158</v>
      </c>
      <c r="E186" s="9" t="s">
        <v>159</v>
      </c>
      <c r="F186" s="9"/>
      <c r="G186" s="5">
        <v>0</v>
      </c>
      <c r="H186" s="3"/>
      <c r="I186" s="3"/>
      <c r="J186" s="9" t="s">
        <v>249</v>
      </c>
      <c r="K186" s="9"/>
      <c r="L186" s="3" t="s">
        <v>160</v>
      </c>
      <c r="M186" s="9" t="s">
        <v>161</v>
      </c>
      <c r="N186" s="9"/>
    </row>
    <row r="187" spans="1:14" ht="15" customHeight="1" x14ac:dyDescent="0.2">
      <c r="A187" s="1" t="s">
        <v>250</v>
      </c>
      <c r="B187" s="6">
        <v>71</v>
      </c>
      <c r="C187" s="1" t="s">
        <v>5</v>
      </c>
      <c r="D187" s="1" t="s">
        <v>163</v>
      </c>
      <c r="E187" s="10" t="s">
        <v>159</v>
      </c>
      <c r="F187" s="10"/>
      <c r="G187" s="7">
        <v>0</v>
      </c>
      <c r="H187" s="1"/>
      <c r="I187" s="1"/>
      <c r="J187" s="10" t="s">
        <v>250</v>
      </c>
      <c r="K187" s="10"/>
      <c r="L187" s="1" t="s">
        <v>160</v>
      </c>
      <c r="M187" s="10" t="s">
        <v>251</v>
      </c>
      <c r="N187" s="10"/>
    </row>
    <row r="188" spans="1:14" ht="15" customHeight="1" x14ac:dyDescent="0.2">
      <c r="A188" s="3" t="s">
        <v>252</v>
      </c>
      <c r="B188" s="4">
        <v>72</v>
      </c>
      <c r="C188" s="3" t="s">
        <v>5</v>
      </c>
      <c r="D188" s="3" t="s">
        <v>158</v>
      </c>
      <c r="E188" s="9" t="s">
        <v>159</v>
      </c>
      <c r="F188" s="9"/>
      <c r="G188" s="5">
        <v>0</v>
      </c>
      <c r="H188" s="3"/>
      <c r="I188" s="3"/>
      <c r="J188" s="9" t="s">
        <v>252</v>
      </c>
      <c r="K188" s="9"/>
      <c r="L188" s="3" t="s">
        <v>160</v>
      </c>
      <c r="M188" s="9" t="s">
        <v>161</v>
      </c>
      <c r="N188" s="9"/>
    </row>
    <row r="189" spans="1:14" ht="15" customHeight="1" x14ac:dyDescent="0.2">
      <c r="A189" s="1" t="s">
        <v>253</v>
      </c>
      <c r="B189" s="6">
        <v>73</v>
      </c>
      <c r="C189" s="1" t="s">
        <v>5</v>
      </c>
      <c r="D189" s="1" t="s">
        <v>163</v>
      </c>
      <c r="E189" s="10" t="s">
        <v>159</v>
      </c>
      <c r="F189" s="10"/>
      <c r="G189" s="7">
        <v>0</v>
      </c>
      <c r="H189" s="1"/>
      <c r="I189" s="1"/>
      <c r="J189" s="10" t="s">
        <v>253</v>
      </c>
      <c r="K189" s="10"/>
      <c r="L189" s="1" t="s">
        <v>160</v>
      </c>
      <c r="M189" s="10" t="s">
        <v>254</v>
      </c>
      <c r="N189" s="10"/>
    </row>
    <row r="190" spans="1:14" ht="15" customHeight="1" x14ac:dyDescent="0.2">
      <c r="A190" s="3" t="s">
        <v>255</v>
      </c>
      <c r="B190" s="4">
        <v>74</v>
      </c>
      <c r="C190" s="3" t="s">
        <v>5</v>
      </c>
      <c r="D190" s="3" t="s">
        <v>158</v>
      </c>
      <c r="E190" s="9" t="s">
        <v>159</v>
      </c>
      <c r="F190" s="9"/>
      <c r="G190" s="5">
        <v>0</v>
      </c>
      <c r="H190" s="3"/>
      <c r="I190" s="3"/>
      <c r="J190" s="9" t="s">
        <v>255</v>
      </c>
      <c r="K190" s="9"/>
      <c r="L190" s="3" t="s">
        <v>160</v>
      </c>
      <c r="M190" s="9" t="s">
        <v>161</v>
      </c>
      <c r="N190" s="9"/>
    </row>
    <row r="191" spans="1:14" ht="15" customHeight="1" x14ac:dyDescent="0.2">
      <c r="A191" s="1" t="s">
        <v>256</v>
      </c>
      <c r="B191" s="6">
        <v>75</v>
      </c>
      <c r="C191" s="1" t="s">
        <v>5</v>
      </c>
      <c r="D191" s="1" t="s">
        <v>163</v>
      </c>
      <c r="E191" s="10" t="s">
        <v>159</v>
      </c>
      <c r="F191" s="10"/>
      <c r="G191" s="7">
        <v>0</v>
      </c>
      <c r="H191" s="1"/>
      <c r="I191" s="1"/>
      <c r="J191" s="10" t="s">
        <v>256</v>
      </c>
      <c r="K191" s="10"/>
      <c r="L191" s="1" t="s">
        <v>160</v>
      </c>
      <c r="M191" s="10" t="s">
        <v>257</v>
      </c>
      <c r="N191" s="10"/>
    </row>
    <row r="192" spans="1:14" ht="20.100000000000001" customHeight="1" x14ac:dyDescent="0.2">
      <c r="A192" s="12" t="s">
        <v>258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spans="1:14" ht="20.100000000000001" customHeight="1" x14ac:dyDescent="0.2">
      <c r="A193" s="2" t="s">
        <v>154</v>
      </c>
      <c r="B193" s="2" t="s">
        <v>259</v>
      </c>
      <c r="C193" s="2" t="s">
        <v>148</v>
      </c>
      <c r="D193" s="2" t="s">
        <v>149</v>
      </c>
      <c r="E193" s="2" t="s">
        <v>260</v>
      </c>
      <c r="F193" s="2" t="s">
        <v>150</v>
      </c>
      <c r="G193" s="2" t="s">
        <v>151</v>
      </c>
      <c r="H193" s="2" t="s">
        <v>147</v>
      </c>
      <c r="I193" s="2" t="s">
        <v>261</v>
      </c>
      <c r="J193" s="2" t="s">
        <v>262</v>
      </c>
      <c r="K193" s="2" t="s">
        <v>263</v>
      </c>
      <c r="L193" s="2" t="s">
        <v>264</v>
      </c>
      <c r="M193" s="13" t="s">
        <v>156</v>
      </c>
      <c r="N193" s="13"/>
    </row>
    <row r="194" spans="1:14" ht="15" customHeight="1" x14ac:dyDescent="0.2">
      <c r="A194" s="3" t="s">
        <v>265</v>
      </c>
      <c r="B194" s="4">
        <v>1</v>
      </c>
      <c r="C194" s="3"/>
      <c r="D194" s="3" t="s">
        <v>266</v>
      </c>
      <c r="E194" s="3"/>
      <c r="F194" s="3"/>
      <c r="G194" s="3"/>
      <c r="H194" s="3"/>
      <c r="I194" s="5">
        <v>0</v>
      </c>
      <c r="J194" s="5">
        <v>0</v>
      </c>
      <c r="K194" s="5">
        <v>300</v>
      </c>
      <c r="L194" s="5">
        <v>300</v>
      </c>
      <c r="M194" s="9"/>
      <c r="N194" s="9"/>
    </row>
    <row r="195" spans="1:14" ht="15" customHeight="1" x14ac:dyDescent="0.2">
      <c r="A195" s="1" t="s">
        <v>157</v>
      </c>
      <c r="B195" s="6">
        <v>2</v>
      </c>
      <c r="C195" s="1" t="s">
        <v>5</v>
      </c>
      <c r="D195" s="1" t="s">
        <v>158</v>
      </c>
      <c r="E195" s="1" t="s">
        <v>267</v>
      </c>
      <c r="F195" s="1" t="s">
        <v>268</v>
      </c>
      <c r="G195" s="7">
        <v>1040.96</v>
      </c>
      <c r="H195" s="6">
        <v>2</v>
      </c>
      <c r="I195" s="7">
        <v>0</v>
      </c>
      <c r="J195" s="7">
        <v>0</v>
      </c>
      <c r="K195" s="7">
        <v>0</v>
      </c>
      <c r="L195" s="7">
        <v>300</v>
      </c>
      <c r="M195" s="10" t="s">
        <v>161</v>
      </c>
      <c r="N195" s="10"/>
    </row>
    <row r="196" spans="1:14" ht="15" customHeight="1" x14ac:dyDescent="0.2">
      <c r="A196" s="3" t="s">
        <v>162</v>
      </c>
      <c r="B196" s="4">
        <v>3</v>
      </c>
      <c r="C196" s="3" t="s">
        <v>5</v>
      </c>
      <c r="D196" s="3" t="s">
        <v>163</v>
      </c>
      <c r="E196" s="3" t="s">
        <v>269</v>
      </c>
      <c r="F196" s="3" t="s">
        <v>268</v>
      </c>
      <c r="G196" s="5">
        <v>1225.71</v>
      </c>
      <c r="H196" s="4">
        <v>3</v>
      </c>
      <c r="I196" s="5">
        <v>0</v>
      </c>
      <c r="J196" s="5">
        <v>0</v>
      </c>
      <c r="K196" s="5">
        <v>184.75</v>
      </c>
      <c r="L196" s="5">
        <v>484.75</v>
      </c>
      <c r="M196" s="9"/>
      <c r="N196" s="9"/>
    </row>
    <row r="197" spans="1:14" ht="15" customHeight="1" x14ac:dyDescent="0.2">
      <c r="A197" s="1" t="s">
        <v>164</v>
      </c>
      <c r="B197" s="6">
        <v>4</v>
      </c>
      <c r="C197" s="1" t="s">
        <v>5</v>
      </c>
      <c r="D197" s="1" t="s">
        <v>158</v>
      </c>
      <c r="E197" s="1" t="s">
        <v>267</v>
      </c>
      <c r="F197" s="1" t="s">
        <v>268</v>
      </c>
      <c r="G197" s="7">
        <v>1220.18</v>
      </c>
      <c r="H197" s="6">
        <v>4</v>
      </c>
      <c r="I197" s="7">
        <v>0</v>
      </c>
      <c r="J197" s="7">
        <v>0</v>
      </c>
      <c r="K197" s="7">
        <v>0</v>
      </c>
      <c r="L197" s="7">
        <v>484.75</v>
      </c>
      <c r="M197" s="10" t="s">
        <v>161</v>
      </c>
      <c r="N197" s="10"/>
    </row>
    <row r="198" spans="1:14" ht="15" customHeight="1" x14ac:dyDescent="0.2">
      <c r="A198" s="3" t="s">
        <v>165</v>
      </c>
      <c r="B198" s="4">
        <v>5</v>
      </c>
      <c r="C198" s="3" t="s">
        <v>5</v>
      </c>
      <c r="D198" s="3" t="s">
        <v>163</v>
      </c>
      <c r="E198" s="3" t="s">
        <v>269</v>
      </c>
      <c r="F198" s="3" t="s">
        <v>268</v>
      </c>
      <c r="G198" s="5">
        <v>1271.45</v>
      </c>
      <c r="H198" s="4">
        <v>5</v>
      </c>
      <c r="I198" s="5">
        <v>0</v>
      </c>
      <c r="J198" s="5">
        <v>0</v>
      </c>
      <c r="K198" s="5">
        <v>51.27</v>
      </c>
      <c r="L198" s="5">
        <v>536.02</v>
      </c>
      <c r="M198" s="9"/>
      <c r="N198" s="9"/>
    </row>
    <row r="199" spans="1:14" ht="15" customHeight="1" x14ac:dyDescent="0.2">
      <c r="A199" s="1" t="s">
        <v>166</v>
      </c>
      <c r="B199" s="6">
        <v>6</v>
      </c>
      <c r="C199" s="1" t="s">
        <v>5</v>
      </c>
      <c r="D199" s="1" t="s">
        <v>158</v>
      </c>
      <c r="E199" s="1" t="s">
        <v>267</v>
      </c>
      <c r="F199" s="1" t="s">
        <v>268</v>
      </c>
      <c r="G199" s="7">
        <v>1274.25</v>
      </c>
      <c r="H199" s="6">
        <v>6</v>
      </c>
      <c r="I199" s="7">
        <v>0</v>
      </c>
      <c r="J199" s="7">
        <v>0</v>
      </c>
      <c r="K199" s="7">
        <v>0</v>
      </c>
      <c r="L199" s="7">
        <v>536.02</v>
      </c>
      <c r="M199" s="10" t="s">
        <v>161</v>
      </c>
      <c r="N199" s="10"/>
    </row>
    <row r="200" spans="1:14" ht="15" customHeight="1" x14ac:dyDescent="0.2">
      <c r="A200" s="3" t="s">
        <v>167</v>
      </c>
      <c r="B200" s="4">
        <v>7</v>
      </c>
      <c r="C200" s="3" t="s">
        <v>5</v>
      </c>
      <c r="D200" s="3" t="s">
        <v>163</v>
      </c>
      <c r="E200" s="3" t="s">
        <v>269</v>
      </c>
      <c r="F200" s="3" t="s">
        <v>268</v>
      </c>
      <c r="G200" s="5">
        <v>1236.81</v>
      </c>
      <c r="H200" s="4">
        <v>7</v>
      </c>
      <c r="I200" s="5">
        <v>0</v>
      </c>
      <c r="J200" s="5">
        <v>0</v>
      </c>
      <c r="K200" s="5">
        <v>-37.44</v>
      </c>
      <c r="L200" s="5">
        <v>498.58</v>
      </c>
      <c r="M200" s="9" t="s">
        <v>168</v>
      </c>
      <c r="N200" s="9"/>
    </row>
    <row r="201" spans="1:14" ht="15" customHeight="1" x14ac:dyDescent="0.2">
      <c r="A201" s="1" t="s">
        <v>169</v>
      </c>
      <c r="B201" s="6">
        <v>8</v>
      </c>
      <c r="C201" s="1" t="s">
        <v>5</v>
      </c>
      <c r="D201" s="1" t="s">
        <v>158</v>
      </c>
      <c r="E201" s="1" t="s">
        <v>267</v>
      </c>
      <c r="F201" s="1" t="s">
        <v>268</v>
      </c>
      <c r="G201" s="7">
        <v>1336.08</v>
      </c>
      <c r="H201" s="6">
        <v>8</v>
      </c>
      <c r="I201" s="7">
        <v>0</v>
      </c>
      <c r="J201" s="7">
        <v>0</v>
      </c>
      <c r="K201" s="7">
        <v>0</v>
      </c>
      <c r="L201" s="7">
        <v>498.58</v>
      </c>
      <c r="M201" s="10" t="s">
        <v>161</v>
      </c>
      <c r="N201" s="10"/>
    </row>
    <row r="202" spans="1:14" ht="15" customHeight="1" x14ac:dyDescent="0.2">
      <c r="A202" s="3" t="s">
        <v>170</v>
      </c>
      <c r="B202" s="4">
        <v>9</v>
      </c>
      <c r="C202" s="3" t="s">
        <v>5</v>
      </c>
      <c r="D202" s="3" t="s">
        <v>163</v>
      </c>
      <c r="E202" s="3" t="s">
        <v>269</v>
      </c>
      <c r="F202" s="3" t="s">
        <v>268</v>
      </c>
      <c r="G202" s="5">
        <v>1373.14</v>
      </c>
      <c r="H202" s="4">
        <v>9</v>
      </c>
      <c r="I202" s="5">
        <v>0</v>
      </c>
      <c r="J202" s="5">
        <v>0</v>
      </c>
      <c r="K202" s="5">
        <v>37.06</v>
      </c>
      <c r="L202" s="5">
        <v>535.64</v>
      </c>
      <c r="M202" s="9"/>
      <c r="N202" s="9"/>
    </row>
    <row r="203" spans="1:14" ht="15" customHeight="1" x14ac:dyDescent="0.2">
      <c r="A203" s="1" t="s">
        <v>171</v>
      </c>
      <c r="B203" s="6">
        <v>10</v>
      </c>
      <c r="C203" s="1" t="s">
        <v>5</v>
      </c>
      <c r="D203" s="1" t="s">
        <v>158</v>
      </c>
      <c r="E203" s="1" t="s">
        <v>267</v>
      </c>
      <c r="F203" s="1" t="s">
        <v>268</v>
      </c>
      <c r="G203" s="7">
        <v>1426.31</v>
      </c>
      <c r="H203" s="6">
        <v>10</v>
      </c>
      <c r="I203" s="7">
        <v>0</v>
      </c>
      <c r="J203" s="7">
        <v>0</v>
      </c>
      <c r="K203" s="7">
        <v>0</v>
      </c>
      <c r="L203" s="7">
        <v>535.64</v>
      </c>
      <c r="M203" s="10" t="s">
        <v>161</v>
      </c>
      <c r="N203" s="10"/>
    </row>
    <row r="204" spans="1:14" ht="15" customHeight="1" x14ac:dyDescent="0.2">
      <c r="A204" s="3" t="s">
        <v>172</v>
      </c>
      <c r="B204" s="4">
        <v>11</v>
      </c>
      <c r="C204" s="3" t="s">
        <v>5</v>
      </c>
      <c r="D204" s="3" t="s">
        <v>163</v>
      </c>
      <c r="E204" s="3" t="s">
        <v>269</v>
      </c>
      <c r="F204" s="3" t="s">
        <v>268</v>
      </c>
      <c r="G204" s="5">
        <v>1453.18</v>
      </c>
      <c r="H204" s="4">
        <v>11</v>
      </c>
      <c r="I204" s="5">
        <v>0</v>
      </c>
      <c r="J204" s="5">
        <v>0</v>
      </c>
      <c r="K204" s="5">
        <v>26.87</v>
      </c>
      <c r="L204" s="5">
        <v>562.51</v>
      </c>
      <c r="M204" s="9"/>
      <c r="N204" s="9"/>
    </row>
    <row r="205" spans="1:14" ht="15" customHeight="1" x14ac:dyDescent="0.2">
      <c r="A205" s="1" t="s">
        <v>173</v>
      </c>
      <c r="B205" s="6">
        <v>12</v>
      </c>
      <c r="C205" s="1" t="s">
        <v>5</v>
      </c>
      <c r="D205" s="1" t="s">
        <v>158</v>
      </c>
      <c r="E205" s="1" t="s">
        <v>267</v>
      </c>
      <c r="F205" s="1" t="s">
        <v>268</v>
      </c>
      <c r="G205" s="7">
        <v>1455.19</v>
      </c>
      <c r="H205" s="6">
        <v>12</v>
      </c>
      <c r="I205" s="7">
        <v>0</v>
      </c>
      <c r="J205" s="7">
        <v>0</v>
      </c>
      <c r="K205" s="7">
        <v>0</v>
      </c>
      <c r="L205" s="7">
        <v>562.51</v>
      </c>
      <c r="M205" s="10" t="s">
        <v>161</v>
      </c>
      <c r="N205" s="10"/>
    </row>
    <row r="206" spans="1:14" ht="15" customHeight="1" x14ac:dyDescent="0.2">
      <c r="A206" s="3" t="s">
        <v>174</v>
      </c>
      <c r="B206" s="4">
        <v>13</v>
      </c>
      <c r="C206" s="3" t="s">
        <v>5</v>
      </c>
      <c r="D206" s="3" t="s">
        <v>163</v>
      </c>
      <c r="E206" s="3" t="s">
        <v>269</v>
      </c>
      <c r="F206" s="3" t="s">
        <v>268</v>
      </c>
      <c r="G206" s="5">
        <v>1425.23</v>
      </c>
      <c r="H206" s="4">
        <v>13</v>
      </c>
      <c r="I206" s="5">
        <v>0</v>
      </c>
      <c r="J206" s="5">
        <v>0</v>
      </c>
      <c r="K206" s="5">
        <v>-29.96</v>
      </c>
      <c r="L206" s="5">
        <v>532.54999999999995</v>
      </c>
      <c r="M206" s="9" t="s">
        <v>175</v>
      </c>
      <c r="N206" s="9"/>
    </row>
    <row r="207" spans="1:14" ht="15" customHeight="1" x14ac:dyDescent="0.2">
      <c r="A207" s="1" t="s">
        <v>176</v>
      </c>
      <c r="B207" s="6">
        <v>14</v>
      </c>
      <c r="C207" s="1" t="s">
        <v>5</v>
      </c>
      <c r="D207" s="1" t="s">
        <v>158</v>
      </c>
      <c r="E207" s="1" t="s">
        <v>267</v>
      </c>
      <c r="F207" s="1" t="s">
        <v>268</v>
      </c>
      <c r="G207" s="7">
        <v>1412.94</v>
      </c>
      <c r="H207" s="6">
        <v>14</v>
      </c>
      <c r="I207" s="7">
        <v>0</v>
      </c>
      <c r="J207" s="7">
        <v>0</v>
      </c>
      <c r="K207" s="7">
        <v>0</v>
      </c>
      <c r="L207" s="7">
        <v>532.54999999999995</v>
      </c>
      <c r="M207" s="10" t="s">
        <v>161</v>
      </c>
      <c r="N207" s="10"/>
    </row>
    <row r="208" spans="1:14" ht="15" customHeight="1" x14ac:dyDescent="0.2">
      <c r="A208" s="3" t="s">
        <v>177</v>
      </c>
      <c r="B208" s="4">
        <v>15</v>
      </c>
      <c r="C208" s="3" t="s">
        <v>5</v>
      </c>
      <c r="D208" s="3" t="s">
        <v>163</v>
      </c>
      <c r="E208" s="3" t="s">
        <v>269</v>
      </c>
      <c r="F208" s="3" t="s">
        <v>268</v>
      </c>
      <c r="G208" s="5">
        <v>1374.6</v>
      </c>
      <c r="H208" s="4">
        <v>15</v>
      </c>
      <c r="I208" s="5">
        <v>0</v>
      </c>
      <c r="J208" s="5">
        <v>0</v>
      </c>
      <c r="K208" s="5">
        <v>-38.340000000000003</v>
      </c>
      <c r="L208" s="5">
        <v>494.21</v>
      </c>
      <c r="M208" s="9" t="s">
        <v>178</v>
      </c>
      <c r="N208" s="9"/>
    </row>
    <row r="209" spans="1:14" ht="15" customHeight="1" x14ac:dyDescent="0.2">
      <c r="A209" s="1" t="s">
        <v>179</v>
      </c>
      <c r="B209" s="6">
        <v>16</v>
      </c>
      <c r="C209" s="1" t="s">
        <v>5</v>
      </c>
      <c r="D209" s="1" t="s">
        <v>158</v>
      </c>
      <c r="E209" s="1" t="s">
        <v>267</v>
      </c>
      <c r="F209" s="1" t="s">
        <v>268</v>
      </c>
      <c r="G209" s="7">
        <v>1342.98</v>
      </c>
      <c r="H209" s="6">
        <v>16</v>
      </c>
      <c r="I209" s="7">
        <v>0</v>
      </c>
      <c r="J209" s="7">
        <v>0</v>
      </c>
      <c r="K209" s="7">
        <v>0</v>
      </c>
      <c r="L209" s="7">
        <v>494.21</v>
      </c>
      <c r="M209" s="10" t="s">
        <v>161</v>
      </c>
      <c r="N209" s="10"/>
    </row>
    <row r="210" spans="1:14" ht="15" customHeight="1" x14ac:dyDescent="0.2">
      <c r="A210" s="3" t="s">
        <v>180</v>
      </c>
      <c r="B210" s="4">
        <v>17</v>
      </c>
      <c r="C210" s="3" t="s">
        <v>5</v>
      </c>
      <c r="D210" s="3" t="s">
        <v>163</v>
      </c>
      <c r="E210" s="3" t="s">
        <v>269</v>
      </c>
      <c r="F210" s="3" t="s">
        <v>268</v>
      </c>
      <c r="G210" s="5">
        <v>1318.54</v>
      </c>
      <c r="H210" s="4">
        <v>17</v>
      </c>
      <c r="I210" s="5">
        <v>0</v>
      </c>
      <c r="J210" s="5">
        <v>0</v>
      </c>
      <c r="K210" s="5">
        <v>-24.44</v>
      </c>
      <c r="L210" s="5">
        <v>469.77</v>
      </c>
      <c r="M210" s="9" t="s">
        <v>181</v>
      </c>
      <c r="N210" s="9"/>
    </row>
    <row r="211" spans="1:14" ht="15" customHeight="1" x14ac:dyDescent="0.2">
      <c r="A211" s="1" t="s">
        <v>182</v>
      </c>
      <c r="B211" s="6">
        <v>18</v>
      </c>
      <c r="C211" s="1" t="s">
        <v>5</v>
      </c>
      <c r="D211" s="1" t="s">
        <v>158</v>
      </c>
      <c r="E211" s="1" t="s">
        <v>267</v>
      </c>
      <c r="F211" s="1" t="s">
        <v>268</v>
      </c>
      <c r="G211" s="7">
        <v>1331.53</v>
      </c>
      <c r="H211" s="6">
        <v>18</v>
      </c>
      <c r="I211" s="7">
        <v>0</v>
      </c>
      <c r="J211" s="7">
        <v>0</v>
      </c>
      <c r="K211" s="7">
        <v>0</v>
      </c>
      <c r="L211" s="7">
        <v>469.77</v>
      </c>
      <c r="M211" s="10" t="s">
        <v>161</v>
      </c>
      <c r="N211" s="10"/>
    </row>
    <row r="212" spans="1:14" ht="15" customHeight="1" x14ac:dyDescent="0.2">
      <c r="A212" s="3" t="s">
        <v>183</v>
      </c>
      <c r="B212" s="4">
        <v>19</v>
      </c>
      <c r="C212" s="3" t="s">
        <v>5</v>
      </c>
      <c r="D212" s="3" t="s">
        <v>163</v>
      </c>
      <c r="E212" s="3" t="s">
        <v>269</v>
      </c>
      <c r="F212" s="3" t="s">
        <v>268</v>
      </c>
      <c r="G212" s="5">
        <v>1387.38</v>
      </c>
      <c r="H212" s="4">
        <v>19</v>
      </c>
      <c r="I212" s="5">
        <v>0</v>
      </c>
      <c r="J212" s="5">
        <v>0</v>
      </c>
      <c r="K212" s="5">
        <v>55.85</v>
      </c>
      <c r="L212" s="5">
        <v>525.62</v>
      </c>
      <c r="M212" s="9"/>
      <c r="N212" s="9"/>
    </row>
    <row r="213" spans="1:14" ht="15" customHeight="1" x14ac:dyDescent="0.2">
      <c r="A213" s="1" t="s">
        <v>184</v>
      </c>
      <c r="B213" s="6">
        <v>20</v>
      </c>
      <c r="C213" s="1" t="s">
        <v>5</v>
      </c>
      <c r="D213" s="1" t="s">
        <v>158</v>
      </c>
      <c r="E213" s="1" t="s">
        <v>267</v>
      </c>
      <c r="F213" s="1" t="s">
        <v>268</v>
      </c>
      <c r="G213" s="7">
        <v>1387.29</v>
      </c>
      <c r="H213" s="6">
        <v>20</v>
      </c>
      <c r="I213" s="7">
        <v>0</v>
      </c>
      <c r="J213" s="7">
        <v>0</v>
      </c>
      <c r="K213" s="7">
        <v>0</v>
      </c>
      <c r="L213" s="7">
        <v>525.62</v>
      </c>
      <c r="M213" s="10" t="s">
        <v>161</v>
      </c>
      <c r="N213" s="10"/>
    </row>
    <row r="214" spans="1:14" ht="15" customHeight="1" x14ac:dyDescent="0.2">
      <c r="A214" s="3" t="s">
        <v>185</v>
      </c>
      <c r="B214" s="4">
        <v>21</v>
      </c>
      <c r="C214" s="3" t="s">
        <v>5</v>
      </c>
      <c r="D214" s="3" t="s">
        <v>163</v>
      </c>
      <c r="E214" s="3" t="s">
        <v>269</v>
      </c>
      <c r="F214" s="3" t="s">
        <v>268</v>
      </c>
      <c r="G214" s="5">
        <v>1399.65</v>
      </c>
      <c r="H214" s="4">
        <v>21</v>
      </c>
      <c r="I214" s="5">
        <v>0</v>
      </c>
      <c r="J214" s="5">
        <v>0</v>
      </c>
      <c r="K214" s="5">
        <v>12.36</v>
      </c>
      <c r="L214" s="5">
        <v>537.98</v>
      </c>
      <c r="M214" s="9" t="s">
        <v>186</v>
      </c>
      <c r="N214" s="9"/>
    </row>
    <row r="215" spans="1:14" ht="15" customHeight="1" x14ac:dyDescent="0.2">
      <c r="A215" s="1" t="s">
        <v>187</v>
      </c>
      <c r="B215" s="6">
        <v>22</v>
      </c>
      <c r="C215" s="1" t="s">
        <v>5</v>
      </c>
      <c r="D215" s="1" t="s">
        <v>158</v>
      </c>
      <c r="E215" s="1" t="s">
        <v>267</v>
      </c>
      <c r="F215" s="1" t="s">
        <v>268</v>
      </c>
      <c r="G215" s="7">
        <v>1396.87</v>
      </c>
      <c r="H215" s="6">
        <v>22</v>
      </c>
      <c r="I215" s="7">
        <v>0</v>
      </c>
      <c r="J215" s="7">
        <v>0</v>
      </c>
      <c r="K215" s="7">
        <v>0</v>
      </c>
      <c r="L215" s="7">
        <v>537.98</v>
      </c>
      <c r="M215" s="10" t="s">
        <v>161</v>
      </c>
      <c r="N215" s="10"/>
    </row>
    <row r="216" spans="1:14" ht="15" customHeight="1" x14ac:dyDescent="0.2">
      <c r="A216" s="3" t="s">
        <v>188</v>
      </c>
      <c r="B216" s="4">
        <v>23</v>
      </c>
      <c r="C216" s="3" t="s">
        <v>5</v>
      </c>
      <c r="D216" s="3" t="s">
        <v>163</v>
      </c>
      <c r="E216" s="3" t="s">
        <v>269</v>
      </c>
      <c r="F216" s="3" t="s">
        <v>268</v>
      </c>
      <c r="G216" s="5">
        <v>1369.15</v>
      </c>
      <c r="H216" s="4">
        <v>23</v>
      </c>
      <c r="I216" s="5">
        <v>0</v>
      </c>
      <c r="J216" s="5">
        <v>0</v>
      </c>
      <c r="K216" s="5">
        <v>-27.72</v>
      </c>
      <c r="L216" s="5">
        <v>510.26</v>
      </c>
      <c r="M216" s="9" t="s">
        <v>189</v>
      </c>
      <c r="N216" s="9"/>
    </row>
    <row r="217" spans="1:14" ht="15" customHeight="1" x14ac:dyDescent="0.2">
      <c r="A217" s="1" t="s">
        <v>190</v>
      </c>
      <c r="B217" s="6">
        <v>24</v>
      </c>
      <c r="C217" s="1" t="s">
        <v>5</v>
      </c>
      <c r="D217" s="1" t="s">
        <v>158</v>
      </c>
      <c r="E217" s="1" t="s">
        <v>267</v>
      </c>
      <c r="F217" s="1" t="s">
        <v>268</v>
      </c>
      <c r="G217" s="7">
        <v>1379.33</v>
      </c>
      <c r="H217" s="6">
        <v>24</v>
      </c>
      <c r="I217" s="7">
        <v>0</v>
      </c>
      <c r="J217" s="7">
        <v>0</v>
      </c>
      <c r="K217" s="7">
        <v>0</v>
      </c>
      <c r="L217" s="7">
        <v>510.26</v>
      </c>
      <c r="M217" s="10" t="s">
        <v>161</v>
      </c>
      <c r="N217" s="10"/>
    </row>
    <row r="218" spans="1:14" ht="15" customHeight="1" x14ac:dyDescent="0.2">
      <c r="A218" s="3" t="s">
        <v>191</v>
      </c>
      <c r="B218" s="4">
        <v>25</v>
      </c>
      <c r="C218" s="3" t="s">
        <v>5</v>
      </c>
      <c r="D218" s="3" t="s">
        <v>163</v>
      </c>
      <c r="E218" s="3" t="s">
        <v>269</v>
      </c>
      <c r="F218" s="3" t="s">
        <v>268</v>
      </c>
      <c r="G218" s="5">
        <v>1574.89</v>
      </c>
      <c r="H218" s="4">
        <v>25</v>
      </c>
      <c r="I218" s="5">
        <v>0</v>
      </c>
      <c r="J218" s="5">
        <v>0</v>
      </c>
      <c r="K218" s="5">
        <v>195.56</v>
      </c>
      <c r="L218" s="5">
        <v>705.82</v>
      </c>
      <c r="M218" s="9"/>
      <c r="N218" s="9"/>
    </row>
    <row r="219" spans="1:14" ht="15" customHeight="1" x14ac:dyDescent="0.2">
      <c r="A219" s="1" t="s">
        <v>192</v>
      </c>
      <c r="B219" s="6">
        <v>26</v>
      </c>
      <c r="C219" s="1" t="s">
        <v>5</v>
      </c>
      <c r="D219" s="1" t="s">
        <v>158</v>
      </c>
      <c r="E219" s="1" t="s">
        <v>267</v>
      </c>
      <c r="F219" s="1" t="s">
        <v>268</v>
      </c>
      <c r="G219" s="7">
        <v>1569.4</v>
      </c>
      <c r="H219" s="6">
        <v>26</v>
      </c>
      <c r="I219" s="7">
        <v>0</v>
      </c>
      <c r="J219" s="7">
        <v>0</v>
      </c>
      <c r="K219" s="7">
        <v>0</v>
      </c>
      <c r="L219" s="7">
        <v>705.82</v>
      </c>
      <c r="M219" s="10" t="s">
        <v>161</v>
      </c>
      <c r="N219" s="10"/>
    </row>
    <row r="220" spans="1:14" ht="15" customHeight="1" x14ac:dyDescent="0.2">
      <c r="A220" s="3" t="s">
        <v>193</v>
      </c>
      <c r="B220" s="4">
        <v>27</v>
      </c>
      <c r="C220" s="3" t="s">
        <v>5</v>
      </c>
      <c r="D220" s="3" t="s">
        <v>163</v>
      </c>
      <c r="E220" s="3" t="s">
        <v>269</v>
      </c>
      <c r="F220" s="3" t="s">
        <v>268</v>
      </c>
      <c r="G220" s="5">
        <v>1657.59</v>
      </c>
      <c r="H220" s="4">
        <v>27</v>
      </c>
      <c r="I220" s="5">
        <v>0</v>
      </c>
      <c r="J220" s="5">
        <v>0</v>
      </c>
      <c r="K220" s="5">
        <v>88.19</v>
      </c>
      <c r="L220" s="5">
        <v>794.01</v>
      </c>
      <c r="M220" s="9"/>
      <c r="N220" s="9"/>
    </row>
    <row r="221" spans="1:14" ht="15" customHeight="1" x14ac:dyDescent="0.2">
      <c r="A221" s="1" t="s">
        <v>194</v>
      </c>
      <c r="B221" s="6">
        <v>28</v>
      </c>
      <c r="C221" s="1" t="s">
        <v>5</v>
      </c>
      <c r="D221" s="1" t="s">
        <v>158</v>
      </c>
      <c r="E221" s="1" t="s">
        <v>267</v>
      </c>
      <c r="F221" s="1" t="s">
        <v>268</v>
      </c>
      <c r="G221" s="7">
        <v>1650.01</v>
      </c>
      <c r="H221" s="6">
        <v>28</v>
      </c>
      <c r="I221" s="7">
        <v>0</v>
      </c>
      <c r="J221" s="7">
        <v>0</v>
      </c>
      <c r="K221" s="7">
        <v>0</v>
      </c>
      <c r="L221" s="7">
        <v>794.01</v>
      </c>
      <c r="M221" s="10" t="s">
        <v>161</v>
      </c>
      <c r="N221" s="10"/>
    </row>
    <row r="222" spans="1:14" ht="15" customHeight="1" x14ac:dyDescent="0.2">
      <c r="A222" s="3" t="s">
        <v>195</v>
      </c>
      <c r="B222" s="4">
        <v>29</v>
      </c>
      <c r="C222" s="3" t="s">
        <v>5</v>
      </c>
      <c r="D222" s="3" t="s">
        <v>163</v>
      </c>
      <c r="E222" s="3" t="s">
        <v>269</v>
      </c>
      <c r="F222" s="3" t="s">
        <v>268</v>
      </c>
      <c r="G222" s="5">
        <v>1590.55</v>
      </c>
      <c r="H222" s="4">
        <v>29</v>
      </c>
      <c r="I222" s="5">
        <v>0</v>
      </c>
      <c r="J222" s="5">
        <v>0</v>
      </c>
      <c r="K222" s="5">
        <v>-59.46</v>
      </c>
      <c r="L222" s="5">
        <v>734.55</v>
      </c>
      <c r="M222" s="9" t="s">
        <v>196</v>
      </c>
      <c r="N222" s="9"/>
    </row>
    <row r="223" spans="1:14" ht="15" customHeight="1" x14ac:dyDescent="0.2">
      <c r="A223" s="1" t="s">
        <v>197</v>
      </c>
      <c r="B223" s="6">
        <v>30</v>
      </c>
      <c r="C223" s="1" t="s">
        <v>5</v>
      </c>
      <c r="D223" s="1" t="s">
        <v>158</v>
      </c>
      <c r="E223" s="1" t="s">
        <v>267</v>
      </c>
      <c r="F223" s="1" t="s">
        <v>268</v>
      </c>
      <c r="G223" s="7">
        <v>1520.62</v>
      </c>
      <c r="H223" s="6">
        <v>30</v>
      </c>
      <c r="I223" s="7">
        <v>0</v>
      </c>
      <c r="J223" s="7">
        <v>0</v>
      </c>
      <c r="K223" s="7">
        <v>0</v>
      </c>
      <c r="L223" s="7">
        <v>734.55</v>
      </c>
      <c r="M223" s="10" t="s">
        <v>161</v>
      </c>
      <c r="N223" s="10"/>
    </row>
    <row r="224" spans="1:14" ht="15" customHeight="1" x14ac:dyDescent="0.2">
      <c r="A224" s="3" t="s">
        <v>198</v>
      </c>
      <c r="B224" s="4">
        <v>31</v>
      </c>
      <c r="C224" s="3" t="s">
        <v>5</v>
      </c>
      <c r="D224" s="3" t="s">
        <v>163</v>
      </c>
      <c r="E224" s="3" t="s">
        <v>269</v>
      </c>
      <c r="F224" s="3" t="s">
        <v>268</v>
      </c>
      <c r="G224" s="5">
        <v>1560.81</v>
      </c>
      <c r="H224" s="4">
        <v>31</v>
      </c>
      <c r="I224" s="5">
        <v>0</v>
      </c>
      <c r="J224" s="5">
        <v>0</v>
      </c>
      <c r="K224" s="5">
        <v>40.19</v>
      </c>
      <c r="L224" s="5">
        <v>774.74</v>
      </c>
      <c r="M224" s="9"/>
      <c r="N224" s="9"/>
    </row>
    <row r="225" spans="1:14" ht="15" customHeight="1" x14ac:dyDescent="0.2">
      <c r="A225" s="1" t="s">
        <v>199</v>
      </c>
      <c r="B225" s="6">
        <v>32</v>
      </c>
      <c r="C225" s="1" t="s">
        <v>5</v>
      </c>
      <c r="D225" s="1" t="s">
        <v>158</v>
      </c>
      <c r="E225" s="1" t="s">
        <v>267</v>
      </c>
      <c r="F225" s="1" t="s">
        <v>268</v>
      </c>
      <c r="G225" s="7">
        <v>1567.66</v>
      </c>
      <c r="H225" s="6">
        <v>32</v>
      </c>
      <c r="I225" s="7">
        <v>0</v>
      </c>
      <c r="J225" s="7">
        <v>0</v>
      </c>
      <c r="K225" s="7">
        <v>0</v>
      </c>
      <c r="L225" s="7">
        <v>774.74</v>
      </c>
      <c r="M225" s="10" t="s">
        <v>161</v>
      </c>
      <c r="N225" s="10"/>
    </row>
    <row r="226" spans="1:14" ht="15" customHeight="1" x14ac:dyDescent="0.2">
      <c r="A226" s="3" t="s">
        <v>200</v>
      </c>
      <c r="B226" s="4">
        <v>33</v>
      </c>
      <c r="C226" s="3" t="s">
        <v>5</v>
      </c>
      <c r="D226" s="3" t="s">
        <v>163</v>
      </c>
      <c r="E226" s="3" t="s">
        <v>269</v>
      </c>
      <c r="F226" s="3" t="s">
        <v>268</v>
      </c>
      <c r="G226" s="5">
        <v>1527.98</v>
      </c>
      <c r="H226" s="4">
        <v>33</v>
      </c>
      <c r="I226" s="5">
        <v>0</v>
      </c>
      <c r="J226" s="5">
        <v>0</v>
      </c>
      <c r="K226" s="5">
        <v>-39.68</v>
      </c>
      <c r="L226" s="5">
        <v>735.06</v>
      </c>
      <c r="M226" s="9" t="s">
        <v>201</v>
      </c>
      <c r="N226" s="9"/>
    </row>
    <row r="227" spans="1:14" ht="15" customHeight="1" x14ac:dyDescent="0.2">
      <c r="A227" s="1" t="s">
        <v>202</v>
      </c>
      <c r="B227" s="6">
        <v>34</v>
      </c>
      <c r="C227" s="1" t="s">
        <v>5</v>
      </c>
      <c r="D227" s="1" t="s">
        <v>158</v>
      </c>
      <c r="E227" s="1" t="s">
        <v>267</v>
      </c>
      <c r="F227" s="1" t="s">
        <v>268</v>
      </c>
      <c r="G227" s="7">
        <v>1516.88</v>
      </c>
      <c r="H227" s="6">
        <v>34</v>
      </c>
      <c r="I227" s="7">
        <v>0</v>
      </c>
      <c r="J227" s="7">
        <v>0</v>
      </c>
      <c r="K227" s="7">
        <v>0</v>
      </c>
      <c r="L227" s="7">
        <v>735.06</v>
      </c>
      <c r="M227" s="10" t="s">
        <v>161</v>
      </c>
      <c r="N227" s="10"/>
    </row>
    <row r="228" spans="1:14" ht="15" customHeight="1" x14ac:dyDescent="0.2">
      <c r="A228" s="3" t="s">
        <v>203</v>
      </c>
      <c r="B228" s="4">
        <v>35</v>
      </c>
      <c r="C228" s="3" t="s">
        <v>5</v>
      </c>
      <c r="D228" s="3" t="s">
        <v>163</v>
      </c>
      <c r="E228" s="3" t="s">
        <v>269</v>
      </c>
      <c r="F228" s="3" t="s">
        <v>268</v>
      </c>
      <c r="G228" s="5">
        <v>1584.18</v>
      </c>
      <c r="H228" s="4">
        <v>35</v>
      </c>
      <c r="I228" s="5">
        <v>0</v>
      </c>
      <c r="J228" s="5">
        <v>0</v>
      </c>
      <c r="K228" s="5">
        <v>67.3</v>
      </c>
      <c r="L228" s="5">
        <v>802.36</v>
      </c>
      <c r="M228" s="9"/>
      <c r="N228" s="9"/>
    </row>
    <row r="229" spans="1:14" ht="15" customHeight="1" x14ac:dyDescent="0.2">
      <c r="A229" s="1" t="s">
        <v>204</v>
      </c>
      <c r="B229" s="6">
        <v>36</v>
      </c>
      <c r="C229" s="1" t="s">
        <v>5</v>
      </c>
      <c r="D229" s="1" t="s">
        <v>158</v>
      </c>
      <c r="E229" s="1" t="s">
        <v>267</v>
      </c>
      <c r="F229" s="1" t="s">
        <v>268</v>
      </c>
      <c r="G229" s="7">
        <v>1579.92</v>
      </c>
      <c r="H229" s="6">
        <v>36</v>
      </c>
      <c r="I229" s="7">
        <v>0</v>
      </c>
      <c r="J229" s="7">
        <v>0</v>
      </c>
      <c r="K229" s="7">
        <v>0</v>
      </c>
      <c r="L229" s="7">
        <v>802.36</v>
      </c>
      <c r="M229" s="10" t="s">
        <v>161</v>
      </c>
      <c r="N229" s="10"/>
    </row>
    <row r="230" spans="1:14" ht="15" customHeight="1" x14ac:dyDescent="0.2">
      <c r="A230" s="3" t="s">
        <v>205</v>
      </c>
      <c r="B230" s="4">
        <v>37</v>
      </c>
      <c r="C230" s="3" t="s">
        <v>5</v>
      </c>
      <c r="D230" s="3" t="s">
        <v>163</v>
      </c>
      <c r="E230" s="3" t="s">
        <v>269</v>
      </c>
      <c r="F230" s="3" t="s">
        <v>268</v>
      </c>
      <c r="G230" s="5">
        <v>1540.62</v>
      </c>
      <c r="H230" s="4">
        <v>37</v>
      </c>
      <c r="I230" s="5">
        <v>0</v>
      </c>
      <c r="J230" s="5">
        <v>0</v>
      </c>
      <c r="K230" s="5">
        <v>-39.299999999999997</v>
      </c>
      <c r="L230" s="5">
        <v>763.06</v>
      </c>
      <c r="M230" s="9" t="s">
        <v>206</v>
      </c>
      <c r="N230" s="9"/>
    </row>
    <row r="231" spans="1:14" ht="15" customHeight="1" x14ac:dyDescent="0.2">
      <c r="A231" s="1" t="s">
        <v>207</v>
      </c>
      <c r="B231" s="6">
        <v>38</v>
      </c>
      <c r="C231" s="1" t="s">
        <v>5</v>
      </c>
      <c r="D231" s="1" t="s">
        <v>158</v>
      </c>
      <c r="E231" s="1" t="s">
        <v>267</v>
      </c>
      <c r="F231" s="1" t="s">
        <v>268</v>
      </c>
      <c r="G231" s="7">
        <v>1532.54</v>
      </c>
      <c r="H231" s="6">
        <v>38</v>
      </c>
      <c r="I231" s="7">
        <v>0</v>
      </c>
      <c r="J231" s="7">
        <v>0</v>
      </c>
      <c r="K231" s="7">
        <v>0</v>
      </c>
      <c r="L231" s="7">
        <v>763.06</v>
      </c>
      <c r="M231" s="10" t="s">
        <v>161</v>
      </c>
      <c r="N231" s="10"/>
    </row>
    <row r="232" spans="1:14" ht="15" customHeight="1" x14ac:dyDescent="0.2">
      <c r="A232" s="3" t="s">
        <v>208</v>
      </c>
      <c r="B232" s="4">
        <v>39</v>
      </c>
      <c r="C232" s="3" t="s">
        <v>5</v>
      </c>
      <c r="D232" s="3" t="s">
        <v>163</v>
      </c>
      <c r="E232" s="3" t="s">
        <v>269</v>
      </c>
      <c r="F232" s="3" t="s">
        <v>268</v>
      </c>
      <c r="G232" s="5">
        <v>1502.41</v>
      </c>
      <c r="H232" s="4">
        <v>39</v>
      </c>
      <c r="I232" s="5">
        <v>0</v>
      </c>
      <c r="J232" s="5">
        <v>0</v>
      </c>
      <c r="K232" s="5">
        <v>-30.13</v>
      </c>
      <c r="L232" s="5">
        <v>732.93</v>
      </c>
      <c r="M232" s="9" t="s">
        <v>209</v>
      </c>
      <c r="N232" s="9"/>
    </row>
    <row r="233" spans="1:14" ht="15" customHeight="1" x14ac:dyDescent="0.2">
      <c r="A233" s="1" t="s">
        <v>210</v>
      </c>
      <c r="B233" s="6">
        <v>40</v>
      </c>
      <c r="C233" s="1" t="s">
        <v>5</v>
      </c>
      <c r="D233" s="1" t="s">
        <v>158</v>
      </c>
      <c r="E233" s="1" t="s">
        <v>267</v>
      </c>
      <c r="F233" s="1" t="s">
        <v>268</v>
      </c>
      <c r="G233" s="7">
        <v>1506.26</v>
      </c>
      <c r="H233" s="6">
        <v>40</v>
      </c>
      <c r="I233" s="7">
        <v>0</v>
      </c>
      <c r="J233" s="7">
        <v>0</v>
      </c>
      <c r="K233" s="7">
        <v>0</v>
      </c>
      <c r="L233" s="7">
        <v>732.93</v>
      </c>
      <c r="M233" s="10" t="s">
        <v>161</v>
      </c>
      <c r="N233" s="10"/>
    </row>
    <row r="234" spans="1:14" ht="15" customHeight="1" x14ac:dyDescent="0.2">
      <c r="A234" s="3" t="s">
        <v>211</v>
      </c>
      <c r="B234" s="4">
        <v>41</v>
      </c>
      <c r="C234" s="3" t="s">
        <v>5</v>
      </c>
      <c r="D234" s="3" t="s">
        <v>163</v>
      </c>
      <c r="E234" s="3" t="s">
        <v>269</v>
      </c>
      <c r="F234" s="3" t="s">
        <v>268</v>
      </c>
      <c r="G234" s="5">
        <v>1644.15</v>
      </c>
      <c r="H234" s="4">
        <v>41</v>
      </c>
      <c r="I234" s="5">
        <v>0</v>
      </c>
      <c r="J234" s="5">
        <v>0</v>
      </c>
      <c r="K234" s="5">
        <v>137.88999999999999</v>
      </c>
      <c r="L234" s="5">
        <v>870.82</v>
      </c>
      <c r="M234" s="9"/>
      <c r="N234" s="9"/>
    </row>
    <row r="235" spans="1:14" ht="15" customHeight="1" x14ac:dyDescent="0.2">
      <c r="A235" s="1" t="s">
        <v>212</v>
      </c>
      <c r="B235" s="6">
        <v>42</v>
      </c>
      <c r="C235" s="1" t="s">
        <v>5</v>
      </c>
      <c r="D235" s="1" t="s">
        <v>158</v>
      </c>
      <c r="E235" s="1" t="s">
        <v>267</v>
      </c>
      <c r="F235" s="1" t="s">
        <v>268</v>
      </c>
      <c r="G235" s="7">
        <v>1647.6</v>
      </c>
      <c r="H235" s="6">
        <v>42</v>
      </c>
      <c r="I235" s="7">
        <v>0</v>
      </c>
      <c r="J235" s="7">
        <v>0</v>
      </c>
      <c r="K235" s="7">
        <v>0</v>
      </c>
      <c r="L235" s="7">
        <v>870.82</v>
      </c>
      <c r="M235" s="10" t="s">
        <v>161</v>
      </c>
      <c r="N235" s="10"/>
    </row>
    <row r="236" spans="1:14" ht="15" customHeight="1" x14ac:dyDescent="0.2">
      <c r="A236" s="3" t="s">
        <v>213</v>
      </c>
      <c r="B236" s="4">
        <v>43</v>
      </c>
      <c r="C236" s="3" t="s">
        <v>5</v>
      </c>
      <c r="D236" s="3" t="s">
        <v>163</v>
      </c>
      <c r="E236" s="3" t="s">
        <v>269</v>
      </c>
      <c r="F236" s="3" t="s">
        <v>268</v>
      </c>
      <c r="G236" s="5">
        <v>2243.77</v>
      </c>
      <c r="H236" s="4">
        <v>43</v>
      </c>
      <c r="I236" s="5">
        <v>0</v>
      </c>
      <c r="J236" s="5">
        <v>0</v>
      </c>
      <c r="K236" s="5">
        <v>596.16999999999996</v>
      </c>
      <c r="L236" s="5">
        <v>1466.99</v>
      </c>
      <c r="M236" s="9"/>
      <c r="N236" s="9"/>
    </row>
    <row r="237" spans="1:14" ht="15" customHeight="1" x14ac:dyDescent="0.2">
      <c r="A237" s="1" t="s">
        <v>214</v>
      </c>
      <c r="B237" s="6">
        <v>44</v>
      </c>
      <c r="C237" s="1" t="s">
        <v>5</v>
      </c>
      <c r="D237" s="1" t="s">
        <v>158</v>
      </c>
      <c r="E237" s="1" t="s">
        <v>267</v>
      </c>
      <c r="F237" s="1" t="s">
        <v>268</v>
      </c>
      <c r="G237" s="7">
        <v>2245.5300000000002</v>
      </c>
      <c r="H237" s="6">
        <v>44</v>
      </c>
      <c r="I237" s="7">
        <v>0</v>
      </c>
      <c r="J237" s="7">
        <v>0</v>
      </c>
      <c r="K237" s="7">
        <v>0</v>
      </c>
      <c r="L237" s="7">
        <v>1466.99</v>
      </c>
      <c r="M237" s="10" t="s">
        <v>161</v>
      </c>
      <c r="N237" s="10"/>
    </row>
    <row r="238" spans="1:14" ht="15" customHeight="1" x14ac:dyDescent="0.2">
      <c r="A238" s="3" t="s">
        <v>215</v>
      </c>
      <c r="B238" s="4">
        <v>45</v>
      </c>
      <c r="C238" s="3" t="s">
        <v>5</v>
      </c>
      <c r="D238" s="3" t="s">
        <v>163</v>
      </c>
      <c r="E238" s="3" t="s">
        <v>269</v>
      </c>
      <c r="F238" s="3" t="s">
        <v>268</v>
      </c>
      <c r="G238" s="5">
        <v>2091.89</v>
      </c>
      <c r="H238" s="4">
        <v>45</v>
      </c>
      <c r="I238" s="5">
        <v>0</v>
      </c>
      <c r="J238" s="5">
        <v>0</v>
      </c>
      <c r="K238" s="5">
        <v>-153.63999999999999</v>
      </c>
      <c r="L238" s="5">
        <v>1313.35</v>
      </c>
      <c r="M238" s="9" t="s">
        <v>216</v>
      </c>
      <c r="N238" s="9"/>
    </row>
    <row r="239" spans="1:14" ht="15" customHeight="1" x14ac:dyDescent="0.2">
      <c r="A239" s="1" t="s">
        <v>217</v>
      </c>
      <c r="B239" s="6">
        <v>46</v>
      </c>
      <c r="C239" s="1" t="s">
        <v>5</v>
      </c>
      <c r="D239" s="1" t="s">
        <v>158</v>
      </c>
      <c r="E239" s="1" t="s">
        <v>267</v>
      </c>
      <c r="F239" s="1" t="s">
        <v>268</v>
      </c>
      <c r="G239" s="7">
        <v>2154.98</v>
      </c>
      <c r="H239" s="6">
        <v>46</v>
      </c>
      <c r="I239" s="7">
        <v>0</v>
      </c>
      <c r="J239" s="7">
        <v>0</v>
      </c>
      <c r="K239" s="7">
        <v>0</v>
      </c>
      <c r="L239" s="7">
        <v>1313.35</v>
      </c>
      <c r="M239" s="10" t="s">
        <v>161</v>
      </c>
      <c r="N239" s="10"/>
    </row>
    <row r="240" spans="1:14" ht="15" customHeight="1" x14ac:dyDescent="0.2">
      <c r="A240" s="3" t="s">
        <v>218</v>
      </c>
      <c r="B240" s="4">
        <v>47</v>
      </c>
      <c r="C240" s="3" t="s">
        <v>5</v>
      </c>
      <c r="D240" s="3" t="s">
        <v>163</v>
      </c>
      <c r="E240" s="3" t="s">
        <v>269</v>
      </c>
      <c r="F240" s="3" t="s">
        <v>268</v>
      </c>
      <c r="G240" s="5">
        <v>2265.27</v>
      </c>
      <c r="H240" s="4">
        <v>47</v>
      </c>
      <c r="I240" s="5">
        <v>0</v>
      </c>
      <c r="J240" s="5">
        <v>0</v>
      </c>
      <c r="K240" s="5">
        <v>110.29</v>
      </c>
      <c r="L240" s="5">
        <v>1423.64</v>
      </c>
      <c r="M240" s="9"/>
      <c r="N240" s="9"/>
    </row>
    <row r="241" spans="1:14" ht="15" customHeight="1" x14ac:dyDescent="0.2">
      <c r="A241" s="1" t="s">
        <v>219</v>
      </c>
      <c r="B241" s="6">
        <v>48</v>
      </c>
      <c r="C241" s="1" t="s">
        <v>5</v>
      </c>
      <c r="D241" s="1" t="s">
        <v>158</v>
      </c>
      <c r="E241" s="1" t="s">
        <v>267</v>
      </c>
      <c r="F241" s="1" t="s">
        <v>268</v>
      </c>
      <c r="G241" s="7">
        <v>2258.37</v>
      </c>
      <c r="H241" s="6">
        <v>48</v>
      </c>
      <c r="I241" s="7">
        <v>0</v>
      </c>
      <c r="J241" s="7">
        <v>0</v>
      </c>
      <c r="K241" s="7">
        <v>0</v>
      </c>
      <c r="L241" s="7">
        <v>1423.64</v>
      </c>
      <c r="M241" s="10" t="s">
        <v>161</v>
      </c>
      <c r="N241" s="10"/>
    </row>
    <row r="242" spans="1:14" ht="15" customHeight="1" x14ac:dyDescent="0.2">
      <c r="A242" s="3" t="s">
        <v>220</v>
      </c>
      <c r="B242" s="4">
        <v>49</v>
      </c>
      <c r="C242" s="3" t="s">
        <v>5</v>
      </c>
      <c r="D242" s="3" t="s">
        <v>163</v>
      </c>
      <c r="E242" s="3" t="s">
        <v>269</v>
      </c>
      <c r="F242" s="3" t="s">
        <v>268</v>
      </c>
      <c r="G242" s="5">
        <v>2623.08</v>
      </c>
      <c r="H242" s="4">
        <v>49</v>
      </c>
      <c r="I242" s="5">
        <v>0</v>
      </c>
      <c r="J242" s="5">
        <v>0</v>
      </c>
      <c r="K242" s="5">
        <v>364.71</v>
      </c>
      <c r="L242" s="5">
        <v>1788.35</v>
      </c>
      <c r="M242" s="9"/>
      <c r="N242" s="9"/>
    </row>
    <row r="243" spans="1:14" ht="15" customHeight="1" x14ac:dyDescent="0.2">
      <c r="A243" s="1" t="s">
        <v>221</v>
      </c>
      <c r="B243" s="6">
        <v>50</v>
      </c>
      <c r="C243" s="1" t="s">
        <v>5</v>
      </c>
      <c r="D243" s="1" t="s">
        <v>158</v>
      </c>
      <c r="E243" s="1" t="s">
        <v>267</v>
      </c>
      <c r="F243" s="1" t="s">
        <v>268</v>
      </c>
      <c r="G243" s="7">
        <v>2619.13</v>
      </c>
      <c r="H243" s="6">
        <v>50</v>
      </c>
      <c r="I243" s="7">
        <v>0</v>
      </c>
      <c r="J243" s="7">
        <v>0</v>
      </c>
      <c r="K243" s="7">
        <v>0</v>
      </c>
      <c r="L243" s="7">
        <v>1788.35</v>
      </c>
      <c r="M243" s="10" t="s">
        <v>161</v>
      </c>
      <c r="N243" s="10"/>
    </row>
    <row r="244" spans="1:14" ht="15" customHeight="1" x14ac:dyDescent="0.2">
      <c r="A244" s="3" t="s">
        <v>222</v>
      </c>
      <c r="B244" s="4">
        <v>51</v>
      </c>
      <c r="C244" s="3" t="s">
        <v>5</v>
      </c>
      <c r="D244" s="3" t="s">
        <v>163</v>
      </c>
      <c r="E244" s="3" t="s">
        <v>269</v>
      </c>
      <c r="F244" s="3" t="s">
        <v>268</v>
      </c>
      <c r="G244" s="5">
        <v>2416.81</v>
      </c>
      <c r="H244" s="4">
        <v>51</v>
      </c>
      <c r="I244" s="5">
        <v>0</v>
      </c>
      <c r="J244" s="5">
        <v>0</v>
      </c>
      <c r="K244" s="5">
        <v>-202.32</v>
      </c>
      <c r="L244" s="5">
        <v>1586.03</v>
      </c>
      <c r="M244" s="9" t="s">
        <v>223</v>
      </c>
      <c r="N244" s="9"/>
    </row>
    <row r="245" spans="1:14" ht="15" customHeight="1" x14ac:dyDescent="0.2">
      <c r="A245" s="1" t="s">
        <v>224</v>
      </c>
      <c r="B245" s="6">
        <v>52</v>
      </c>
      <c r="C245" s="1" t="s">
        <v>5</v>
      </c>
      <c r="D245" s="1" t="s">
        <v>158</v>
      </c>
      <c r="E245" s="1" t="s">
        <v>267</v>
      </c>
      <c r="F245" s="1" t="s">
        <v>268</v>
      </c>
      <c r="G245" s="7">
        <v>1991.03</v>
      </c>
      <c r="H245" s="6">
        <v>52</v>
      </c>
      <c r="I245" s="7">
        <v>0</v>
      </c>
      <c r="J245" s="7">
        <v>0</v>
      </c>
      <c r="K245" s="7">
        <v>0</v>
      </c>
      <c r="L245" s="7">
        <v>1586.03</v>
      </c>
      <c r="M245" s="10" t="s">
        <v>161</v>
      </c>
      <c r="N245" s="10"/>
    </row>
    <row r="246" spans="1:14" ht="15" customHeight="1" x14ac:dyDescent="0.2">
      <c r="A246" s="3" t="s">
        <v>225</v>
      </c>
      <c r="B246" s="4">
        <v>53</v>
      </c>
      <c r="C246" s="3" t="s">
        <v>5</v>
      </c>
      <c r="D246" s="3" t="s">
        <v>163</v>
      </c>
      <c r="E246" s="3" t="s">
        <v>269</v>
      </c>
      <c r="F246" s="3" t="s">
        <v>268</v>
      </c>
      <c r="G246" s="5">
        <v>1867.21</v>
      </c>
      <c r="H246" s="4">
        <v>53</v>
      </c>
      <c r="I246" s="5">
        <v>0</v>
      </c>
      <c r="J246" s="5">
        <v>0</v>
      </c>
      <c r="K246" s="5">
        <v>-123.82</v>
      </c>
      <c r="L246" s="5">
        <v>1462.21</v>
      </c>
      <c r="M246" s="9" t="s">
        <v>226</v>
      </c>
      <c r="N246" s="9"/>
    </row>
    <row r="247" spans="1:14" ht="15" customHeight="1" x14ac:dyDescent="0.2">
      <c r="A247" s="1" t="s">
        <v>227</v>
      </c>
      <c r="B247" s="6">
        <v>54</v>
      </c>
      <c r="C247" s="1" t="s">
        <v>5</v>
      </c>
      <c r="D247" s="1" t="s">
        <v>158</v>
      </c>
      <c r="E247" s="1" t="s">
        <v>267</v>
      </c>
      <c r="F247" s="1" t="s">
        <v>268</v>
      </c>
      <c r="G247" s="7">
        <v>1983.37</v>
      </c>
      <c r="H247" s="6">
        <v>54</v>
      </c>
      <c r="I247" s="7">
        <v>0</v>
      </c>
      <c r="J247" s="7">
        <v>0</v>
      </c>
      <c r="K247" s="7">
        <v>0</v>
      </c>
      <c r="L247" s="7">
        <v>1462.21</v>
      </c>
      <c r="M247" s="10" t="s">
        <v>161</v>
      </c>
      <c r="N247" s="10"/>
    </row>
    <row r="248" spans="1:14" ht="15" customHeight="1" x14ac:dyDescent="0.2">
      <c r="A248" s="3" t="s">
        <v>228</v>
      </c>
      <c r="B248" s="4">
        <v>55</v>
      </c>
      <c r="C248" s="3" t="s">
        <v>5</v>
      </c>
      <c r="D248" s="3" t="s">
        <v>163</v>
      </c>
      <c r="E248" s="3" t="s">
        <v>269</v>
      </c>
      <c r="F248" s="3" t="s">
        <v>268</v>
      </c>
      <c r="G248" s="5">
        <v>2206.65</v>
      </c>
      <c r="H248" s="4">
        <v>55</v>
      </c>
      <c r="I248" s="5">
        <v>0</v>
      </c>
      <c r="J248" s="5">
        <v>0</v>
      </c>
      <c r="K248" s="5">
        <v>223.28</v>
      </c>
      <c r="L248" s="5">
        <v>1685.49</v>
      </c>
      <c r="M248" s="9"/>
      <c r="N248" s="9"/>
    </row>
    <row r="249" spans="1:14" ht="15" customHeight="1" x14ac:dyDescent="0.2">
      <c r="A249" s="1" t="s">
        <v>229</v>
      </c>
      <c r="B249" s="6">
        <v>56</v>
      </c>
      <c r="C249" s="1" t="s">
        <v>5</v>
      </c>
      <c r="D249" s="1" t="s">
        <v>158</v>
      </c>
      <c r="E249" s="1" t="s">
        <v>267</v>
      </c>
      <c r="F249" s="1" t="s">
        <v>268</v>
      </c>
      <c r="G249" s="7">
        <v>2203.06</v>
      </c>
      <c r="H249" s="6">
        <v>56</v>
      </c>
      <c r="I249" s="7">
        <v>0</v>
      </c>
      <c r="J249" s="7">
        <v>0</v>
      </c>
      <c r="K249" s="7">
        <v>0</v>
      </c>
      <c r="L249" s="7">
        <v>1685.49</v>
      </c>
      <c r="M249" s="10" t="s">
        <v>161</v>
      </c>
      <c r="N249" s="10"/>
    </row>
    <row r="250" spans="1:14" ht="15" customHeight="1" x14ac:dyDescent="0.2">
      <c r="A250" s="3" t="s">
        <v>230</v>
      </c>
      <c r="B250" s="4">
        <v>57</v>
      </c>
      <c r="C250" s="3" t="s">
        <v>5</v>
      </c>
      <c r="D250" s="3" t="s">
        <v>163</v>
      </c>
      <c r="E250" s="3" t="s">
        <v>269</v>
      </c>
      <c r="F250" s="3" t="s">
        <v>268</v>
      </c>
      <c r="G250" s="5">
        <v>2101.86</v>
      </c>
      <c r="H250" s="4">
        <v>57</v>
      </c>
      <c r="I250" s="5">
        <v>0</v>
      </c>
      <c r="J250" s="5">
        <v>0</v>
      </c>
      <c r="K250" s="5">
        <v>-101.2</v>
      </c>
      <c r="L250" s="5">
        <v>1584.29</v>
      </c>
      <c r="M250" s="9" t="s">
        <v>231</v>
      </c>
      <c r="N250" s="9"/>
    </row>
    <row r="251" spans="1:14" ht="15" customHeight="1" x14ac:dyDescent="0.2">
      <c r="A251" s="1" t="s">
        <v>232</v>
      </c>
      <c r="B251" s="6">
        <v>58</v>
      </c>
      <c r="C251" s="1" t="s">
        <v>5</v>
      </c>
      <c r="D251" s="1" t="s">
        <v>158</v>
      </c>
      <c r="E251" s="1" t="s">
        <v>267</v>
      </c>
      <c r="F251" s="1" t="s">
        <v>268</v>
      </c>
      <c r="G251" s="7">
        <v>2116.71</v>
      </c>
      <c r="H251" s="6">
        <v>58</v>
      </c>
      <c r="I251" s="7">
        <v>0</v>
      </c>
      <c r="J251" s="7">
        <v>0</v>
      </c>
      <c r="K251" s="7">
        <v>0</v>
      </c>
      <c r="L251" s="7">
        <v>1584.29</v>
      </c>
      <c r="M251" s="10" t="s">
        <v>161</v>
      </c>
      <c r="N251" s="10"/>
    </row>
    <row r="252" spans="1:14" ht="15" customHeight="1" x14ac:dyDescent="0.2">
      <c r="A252" s="3" t="s">
        <v>233</v>
      </c>
      <c r="B252" s="4">
        <v>59</v>
      </c>
      <c r="C252" s="3" t="s">
        <v>5</v>
      </c>
      <c r="D252" s="3" t="s">
        <v>163</v>
      </c>
      <c r="E252" s="3" t="s">
        <v>269</v>
      </c>
      <c r="F252" s="3" t="s">
        <v>268</v>
      </c>
      <c r="G252" s="5">
        <v>2085.69</v>
      </c>
      <c r="H252" s="4">
        <v>59</v>
      </c>
      <c r="I252" s="5">
        <v>0</v>
      </c>
      <c r="J252" s="5">
        <v>0</v>
      </c>
      <c r="K252" s="5">
        <v>-31.02</v>
      </c>
      <c r="L252" s="5">
        <v>1553.27</v>
      </c>
      <c r="M252" s="9" t="s">
        <v>234</v>
      </c>
      <c r="N252" s="9"/>
    </row>
    <row r="253" spans="1:14" ht="15" customHeight="1" x14ac:dyDescent="0.2">
      <c r="A253" s="1" t="s">
        <v>235</v>
      </c>
      <c r="B253" s="6">
        <v>60</v>
      </c>
      <c r="C253" s="1" t="s">
        <v>5</v>
      </c>
      <c r="D253" s="1" t="s">
        <v>158</v>
      </c>
      <c r="E253" s="1" t="s">
        <v>267</v>
      </c>
      <c r="F253" s="1" t="s">
        <v>268</v>
      </c>
      <c r="G253" s="7">
        <v>2037.26</v>
      </c>
      <c r="H253" s="6">
        <v>60</v>
      </c>
      <c r="I253" s="7">
        <v>0</v>
      </c>
      <c r="J253" s="7">
        <v>0</v>
      </c>
      <c r="K253" s="7">
        <v>0</v>
      </c>
      <c r="L253" s="7">
        <v>1553.27</v>
      </c>
      <c r="M253" s="10" t="s">
        <v>161</v>
      </c>
      <c r="N253" s="10"/>
    </row>
    <row r="254" spans="1:14" ht="15" customHeight="1" x14ac:dyDescent="0.2">
      <c r="A254" s="3" t="s">
        <v>236</v>
      </c>
      <c r="B254" s="4">
        <v>61</v>
      </c>
      <c r="C254" s="3" t="s">
        <v>5</v>
      </c>
      <c r="D254" s="3" t="s">
        <v>163</v>
      </c>
      <c r="E254" s="3" t="s">
        <v>269</v>
      </c>
      <c r="F254" s="3" t="s">
        <v>268</v>
      </c>
      <c r="G254" s="5">
        <v>1956.83</v>
      </c>
      <c r="H254" s="4">
        <v>61</v>
      </c>
      <c r="I254" s="5">
        <v>0</v>
      </c>
      <c r="J254" s="5">
        <v>0</v>
      </c>
      <c r="K254" s="5">
        <v>-80.430000000000007</v>
      </c>
      <c r="L254" s="5">
        <v>1472.84</v>
      </c>
      <c r="M254" s="9" t="s">
        <v>237</v>
      </c>
      <c r="N254" s="9"/>
    </row>
    <row r="255" spans="1:14" ht="15" customHeight="1" x14ac:dyDescent="0.2">
      <c r="A255" s="1" t="s">
        <v>238</v>
      </c>
      <c r="B255" s="6">
        <v>62</v>
      </c>
      <c r="C255" s="1" t="s">
        <v>5</v>
      </c>
      <c r="D255" s="1" t="s">
        <v>158</v>
      </c>
      <c r="E255" s="1" t="s">
        <v>267</v>
      </c>
      <c r="F255" s="1" t="s">
        <v>268</v>
      </c>
      <c r="G255" s="7">
        <v>1790.24</v>
      </c>
      <c r="H255" s="6">
        <v>62</v>
      </c>
      <c r="I255" s="7">
        <v>0</v>
      </c>
      <c r="J255" s="7">
        <v>0</v>
      </c>
      <c r="K255" s="7">
        <v>0</v>
      </c>
      <c r="L255" s="7">
        <v>1472.84</v>
      </c>
      <c r="M255" s="10" t="s">
        <v>161</v>
      </c>
      <c r="N255" s="10"/>
    </row>
    <row r="256" spans="1:14" ht="15" customHeight="1" x14ac:dyDescent="0.2">
      <c r="A256" s="3" t="s">
        <v>239</v>
      </c>
      <c r="B256" s="4">
        <v>63</v>
      </c>
      <c r="C256" s="3" t="s">
        <v>5</v>
      </c>
      <c r="D256" s="3" t="s">
        <v>163</v>
      </c>
      <c r="E256" s="3" t="s">
        <v>269</v>
      </c>
      <c r="F256" s="3" t="s">
        <v>268</v>
      </c>
      <c r="G256" s="5">
        <v>1795.68</v>
      </c>
      <c r="H256" s="4">
        <v>63</v>
      </c>
      <c r="I256" s="5">
        <v>0</v>
      </c>
      <c r="J256" s="5">
        <v>0</v>
      </c>
      <c r="K256" s="5">
        <v>5.44</v>
      </c>
      <c r="L256" s="5">
        <v>1478.28</v>
      </c>
      <c r="M256" s="9" t="s">
        <v>240</v>
      </c>
      <c r="N256" s="9"/>
    </row>
    <row r="257" spans="1:14" ht="15" customHeight="1" x14ac:dyDescent="0.2">
      <c r="A257" s="1" t="s">
        <v>241</v>
      </c>
      <c r="B257" s="6">
        <v>64</v>
      </c>
      <c r="C257" s="1" t="s">
        <v>5</v>
      </c>
      <c r="D257" s="1" t="s">
        <v>158</v>
      </c>
      <c r="E257" s="1" t="s">
        <v>267</v>
      </c>
      <c r="F257" s="1" t="s">
        <v>268</v>
      </c>
      <c r="G257" s="7">
        <v>1789.4</v>
      </c>
      <c r="H257" s="6">
        <v>64</v>
      </c>
      <c r="I257" s="7">
        <v>0</v>
      </c>
      <c r="J257" s="7">
        <v>0</v>
      </c>
      <c r="K257" s="7">
        <v>0</v>
      </c>
      <c r="L257" s="7">
        <v>1478.28</v>
      </c>
      <c r="M257" s="10" t="s">
        <v>161</v>
      </c>
      <c r="N257" s="10"/>
    </row>
    <row r="258" spans="1:14" ht="15" customHeight="1" x14ac:dyDescent="0.2">
      <c r="A258" s="3" t="s">
        <v>242</v>
      </c>
      <c r="B258" s="4">
        <v>65</v>
      </c>
      <c r="C258" s="3" t="s">
        <v>5</v>
      </c>
      <c r="D258" s="3" t="s">
        <v>163</v>
      </c>
      <c r="E258" s="3" t="s">
        <v>269</v>
      </c>
      <c r="F258" s="3" t="s">
        <v>268</v>
      </c>
      <c r="G258" s="5">
        <v>2074.69</v>
      </c>
      <c r="H258" s="4">
        <v>65</v>
      </c>
      <c r="I258" s="5">
        <v>0</v>
      </c>
      <c r="J258" s="5">
        <v>0</v>
      </c>
      <c r="K258" s="5">
        <v>285.29000000000002</v>
      </c>
      <c r="L258" s="5">
        <v>1763.57</v>
      </c>
      <c r="M258" s="9"/>
      <c r="N258" s="9"/>
    </row>
    <row r="259" spans="1:14" ht="15" customHeight="1" x14ac:dyDescent="0.2">
      <c r="A259" s="1" t="s">
        <v>243</v>
      </c>
      <c r="B259" s="6">
        <v>66</v>
      </c>
      <c r="C259" s="1" t="s">
        <v>5</v>
      </c>
      <c r="D259" s="1" t="s">
        <v>158</v>
      </c>
      <c r="E259" s="1" t="s">
        <v>267</v>
      </c>
      <c r="F259" s="1" t="s">
        <v>268</v>
      </c>
      <c r="G259" s="7">
        <v>2083.81</v>
      </c>
      <c r="H259" s="6">
        <v>66</v>
      </c>
      <c r="I259" s="7">
        <v>0</v>
      </c>
      <c r="J259" s="7">
        <v>0</v>
      </c>
      <c r="K259" s="7">
        <v>0</v>
      </c>
      <c r="L259" s="7">
        <v>1763.57</v>
      </c>
      <c r="M259" s="10" t="s">
        <v>161</v>
      </c>
      <c r="N259" s="10"/>
    </row>
    <row r="260" spans="1:14" ht="15" customHeight="1" x14ac:dyDescent="0.2">
      <c r="A260" s="3" t="s">
        <v>244</v>
      </c>
      <c r="B260" s="4">
        <v>67</v>
      </c>
      <c r="C260" s="3" t="s">
        <v>5</v>
      </c>
      <c r="D260" s="3" t="s">
        <v>163</v>
      </c>
      <c r="E260" s="3" t="s">
        <v>269</v>
      </c>
      <c r="F260" s="3" t="s">
        <v>268</v>
      </c>
      <c r="G260" s="5">
        <v>2017.5</v>
      </c>
      <c r="H260" s="4">
        <v>67</v>
      </c>
      <c r="I260" s="5">
        <v>0</v>
      </c>
      <c r="J260" s="5">
        <v>0</v>
      </c>
      <c r="K260" s="5">
        <v>-66.31</v>
      </c>
      <c r="L260" s="5">
        <v>1697.26</v>
      </c>
      <c r="M260" s="9" t="s">
        <v>245</v>
      </c>
      <c r="N260" s="9"/>
    </row>
    <row r="261" spans="1:14" ht="15" customHeight="1" x14ac:dyDescent="0.2">
      <c r="A261" s="1" t="s">
        <v>246</v>
      </c>
      <c r="B261" s="6">
        <v>68</v>
      </c>
      <c r="C261" s="1" t="s">
        <v>5</v>
      </c>
      <c r="D261" s="1" t="s">
        <v>158</v>
      </c>
      <c r="E261" s="1" t="s">
        <v>267</v>
      </c>
      <c r="F261" s="1" t="s">
        <v>268</v>
      </c>
      <c r="G261" s="7">
        <v>2025.58</v>
      </c>
      <c r="H261" s="6">
        <v>68</v>
      </c>
      <c r="I261" s="7">
        <v>0</v>
      </c>
      <c r="J261" s="7">
        <v>0</v>
      </c>
      <c r="K261" s="7">
        <v>0</v>
      </c>
      <c r="L261" s="7">
        <v>1697.26</v>
      </c>
      <c r="M261" s="10" t="s">
        <v>161</v>
      </c>
      <c r="N261" s="10"/>
    </row>
    <row r="262" spans="1:14" ht="15" customHeight="1" x14ac:dyDescent="0.2">
      <c r="A262" s="3" t="s">
        <v>247</v>
      </c>
      <c r="B262" s="4">
        <v>69</v>
      </c>
      <c r="C262" s="3" t="s">
        <v>5</v>
      </c>
      <c r="D262" s="3" t="s">
        <v>163</v>
      </c>
      <c r="E262" s="3" t="s">
        <v>269</v>
      </c>
      <c r="F262" s="3" t="s">
        <v>268</v>
      </c>
      <c r="G262" s="5">
        <v>1959.89</v>
      </c>
      <c r="H262" s="4">
        <v>69</v>
      </c>
      <c r="I262" s="5">
        <v>0</v>
      </c>
      <c r="J262" s="5">
        <v>0</v>
      </c>
      <c r="K262" s="5">
        <v>-65.69</v>
      </c>
      <c r="L262" s="5">
        <v>1631.57</v>
      </c>
      <c r="M262" s="9" t="s">
        <v>248</v>
      </c>
      <c r="N262" s="9"/>
    </row>
    <row r="263" spans="1:14" ht="15" customHeight="1" x14ac:dyDescent="0.2">
      <c r="A263" s="1" t="s">
        <v>249</v>
      </c>
      <c r="B263" s="6">
        <v>70</v>
      </c>
      <c r="C263" s="1" t="s">
        <v>5</v>
      </c>
      <c r="D263" s="1" t="s">
        <v>158</v>
      </c>
      <c r="E263" s="1" t="s">
        <v>267</v>
      </c>
      <c r="F263" s="1" t="s">
        <v>268</v>
      </c>
      <c r="G263" s="7">
        <v>1977.37</v>
      </c>
      <c r="H263" s="6">
        <v>70</v>
      </c>
      <c r="I263" s="7">
        <v>0</v>
      </c>
      <c r="J263" s="7">
        <v>0</v>
      </c>
      <c r="K263" s="7">
        <v>0</v>
      </c>
      <c r="L263" s="7">
        <v>1631.57</v>
      </c>
      <c r="M263" s="10" t="s">
        <v>161</v>
      </c>
      <c r="N263" s="10"/>
    </row>
    <row r="264" spans="1:14" ht="15" customHeight="1" x14ac:dyDescent="0.2">
      <c r="A264" s="3" t="s">
        <v>250</v>
      </c>
      <c r="B264" s="4">
        <v>71</v>
      </c>
      <c r="C264" s="3" t="s">
        <v>5</v>
      </c>
      <c r="D264" s="3" t="s">
        <v>163</v>
      </c>
      <c r="E264" s="3" t="s">
        <v>269</v>
      </c>
      <c r="F264" s="3" t="s">
        <v>268</v>
      </c>
      <c r="G264" s="5">
        <v>1940.32</v>
      </c>
      <c r="H264" s="4">
        <v>71</v>
      </c>
      <c r="I264" s="5">
        <v>0</v>
      </c>
      <c r="J264" s="5">
        <v>0</v>
      </c>
      <c r="K264" s="5">
        <v>-37.049999999999997</v>
      </c>
      <c r="L264" s="5">
        <v>1594.52</v>
      </c>
      <c r="M264" s="9" t="s">
        <v>251</v>
      </c>
      <c r="N264" s="9"/>
    </row>
    <row r="265" spans="1:14" ht="15" customHeight="1" x14ac:dyDescent="0.2">
      <c r="A265" s="1" t="s">
        <v>252</v>
      </c>
      <c r="B265" s="6">
        <v>72</v>
      </c>
      <c r="C265" s="1" t="s">
        <v>5</v>
      </c>
      <c r="D265" s="1" t="s">
        <v>158</v>
      </c>
      <c r="E265" s="1" t="s">
        <v>267</v>
      </c>
      <c r="F265" s="1" t="s">
        <v>268</v>
      </c>
      <c r="G265" s="7">
        <v>1906.64</v>
      </c>
      <c r="H265" s="6">
        <v>72</v>
      </c>
      <c r="I265" s="7">
        <v>0</v>
      </c>
      <c r="J265" s="7">
        <v>0</v>
      </c>
      <c r="K265" s="7">
        <v>0</v>
      </c>
      <c r="L265" s="7">
        <v>1594.52</v>
      </c>
      <c r="M265" s="10" t="s">
        <v>161</v>
      </c>
      <c r="N265" s="10"/>
    </row>
    <row r="266" spans="1:14" ht="15" customHeight="1" x14ac:dyDescent="0.2">
      <c r="A266" s="3" t="s">
        <v>253</v>
      </c>
      <c r="B266" s="4">
        <v>73</v>
      </c>
      <c r="C266" s="3" t="s">
        <v>5</v>
      </c>
      <c r="D266" s="3" t="s">
        <v>163</v>
      </c>
      <c r="E266" s="3" t="s">
        <v>269</v>
      </c>
      <c r="F266" s="3" t="s">
        <v>268</v>
      </c>
      <c r="G266" s="5">
        <v>1862.27</v>
      </c>
      <c r="H266" s="4">
        <v>73</v>
      </c>
      <c r="I266" s="5">
        <v>0</v>
      </c>
      <c r="J266" s="5">
        <v>0</v>
      </c>
      <c r="K266" s="5">
        <v>-44.37</v>
      </c>
      <c r="L266" s="5">
        <v>1550.15</v>
      </c>
      <c r="M266" s="9" t="s">
        <v>254</v>
      </c>
      <c r="N266" s="9"/>
    </row>
    <row r="267" spans="1:14" ht="15" customHeight="1" x14ac:dyDescent="0.2">
      <c r="A267" s="1" t="s">
        <v>255</v>
      </c>
      <c r="B267" s="6">
        <v>74</v>
      </c>
      <c r="C267" s="1" t="s">
        <v>5</v>
      </c>
      <c r="D267" s="1" t="s">
        <v>158</v>
      </c>
      <c r="E267" s="1" t="s">
        <v>267</v>
      </c>
      <c r="F267" s="1" t="s">
        <v>268</v>
      </c>
      <c r="G267" s="7">
        <v>1866.55</v>
      </c>
      <c r="H267" s="6">
        <v>74</v>
      </c>
      <c r="I267" s="7">
        <v>0</v>
      </c>
      <c r="J267" s="7">
        <v>0</v>
      </c>
      <c r="K267" s="7">
        <v>0</v>
      </c>
      <c r="L267" s="7">
        <v>1550.15</v>
      </c>
      <c r="M267" s="10" t="s">
        <v>161</v>
      </c>
      <c r="N267" s="10"/>
    </row>
    <row r="268" spans="1:14" ht="15" customHeight="1" x14ac:dyDescent="0.2">
      <c r="A268" s="3" t="s">
        <v>256</v>
      </c>
      <c r="B268" s="4">
        <v>75</v>
      </c>
      <c r="C268" s="3" t="s">
        <v>5</v>
      </c>
      <c r="D268" s="3" t="s">
        <v>163</v>
      </c>
      <c r="E268" s="3" t="s">
        <v>269</v>
      </c>
      <c r="F268" s="3" t="s">
        <v>268</v>
      </c>
      <c r="G268" s="5">
        <v>1859.59</v>
      </c>
      <c r="H268" s="4">
        <v>75</v>
      </c>
      <c r="I268" s="5">
        <v>0</v>
      </c>
      <c r="J268" s="5">
        <v>0</v>
      </c>
      <c r="K268" s="5">
        <v>-6.96</v>
      </c>
      <c r="L268" s="5">
        <v>1543.19</v>
      </c>
      <c r="M268" s="9" t="s">
        <v>257</v>
      </c>
      <c r="N268" s="9"/>
    </row>
    <row r="269" spans="1:14" ht="20.100000000000001" customHeight="1" x14ac:dyDescent="0.2">
      <c r="A269" s="11"/>
      <c r="B269" s="11"/>
      <c r="C269" s="11"/>
      <c r="D269" s="11"/>
      <c r="E269" s="11"/>
      <c r="F269" s="11"/>
      <c r="G269" s="11"/>
      <c r="H269" s="11"/>
      <c r="I269" s="8">
        <f>SUM(Sheet1!I194:I268)</f>
        <v>0</v>
      </c>
      <c r="J269" s="8">
        <f>SUM(Sheet1!J194:J268)</f>
        <v>0</v>
      </c>
      <c r="K269" s="8">
        <v>1243.19</v>
      </c>
      <c r="L269" s="8">
        <v>1543.19</v>
      </c>
      <c r="M269" s="11"/>
      <c r="N269" s="11"/>
    </row>
  </sheetData>
  <mergeCells count="477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A68:C68"/>
    <mergeCell ref="D68:N68"/>
    <mergeCell ref="A69:C69"/>
    <mergeCell ref="D69:N69"/>
    <mergeCell ref="A70:C70"/>
    <mergeCell ref="D70:N70"/>
    <mergeCell ref="A71:C71"/>
    <mergeCell ref="D71:N71"/>
    <mergeCell ref="A72:N72"/>
    <mergeCell ref="A73:C73"/>
    <mergeCell ref="D73"/>
    <mergeCell ref="A74:C74"/>
    <mergeCell ref="D74"/>
    <mergeCell ref="E74:G74"/>
    <mergeCell ref="H74"/>
    <mergeCell ref="I74:K74"/>
    <mergeCell ref="L74:N74"/>
    <mergeCell ref="A75:C75"/>
    <mergeCell ref="D75"/>
    <mergeCell ref="E75:G75"/>
    <mergeCell ref="H75"/>
    <mergeCell ref="I75:K75"/>
    <mergeCell ref="L75:N75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9:C79"/>
    <mergeCell ref="D79"/>
    <mergeCell ref="E79:G79"/>
    <mergeCell ref="H79"/>
    <mergeCell ref="I79:K79"/>
    <mergeCell ref="L79:N79"/>
    <mergeCell ref="A80:C80"/>
    <mergeCell ref="D80"/>
    <mergeCell ref="E80:G80"/>
    <mergeCell ref="H80"/>
    <mergeCell ref="I80:K80"/>
    <mergeCell ref="L80:N80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E91:G91"/>
    <mergeCell ref="H91"/>
    <mergeCell ref="I91:K91"/>
    <mergeCell ref="L91:N91"/>
    <mergeCell ref="E92:G92"/>
    <mergeCell ref="H92"/>
    <mergeCell ref="I92:K92"/>
    <mergeCell ref="L92:N92"/>
    <mergeCell ref="E93:G93"/>
    <mergeCell ref="H93"/>
    <mergeCell ref="I93:K93"/>
    <mergeCell ref="L93:N93"/>
    <mergeCell ref="A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A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64:N264"/>
    <mergeCell ref="M265:N265"/>
    <mergeCell ref="M266:N266"/>
    <mergeCell ref="M267:N267"/>
    <mergeCell ref="M268:N268"/>
    <mergeCell ref="A269:H269"/>
    <mergeCell ref="M269:N269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dcterms:created xsi:type="dcterms:W3CDTF">2026-07-08T15:29:00Z</dcterms:created>
  <dcterms:modified xsi:type="dcterms:W3CDTF">2026-09-11T08:20:22Z</dcterms:modified>
  <cp:category>Reports</cp:category>
</cp:coreProperties>
</file>