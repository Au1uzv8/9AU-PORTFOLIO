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7d1a9c3b931657/1Drive-Documents/MQL5/ACTIVE_MQ5/EXCEL 7 EA COMBINE/"/>
    </mc:Choice>
  </mc:AlternateContent>
  <xr:revisionPtr revIDLastSave="0" documentId="13_ncr:1_{78FF31A9-839C-4835-9D05-72E9F1A051F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4" i="1" l="1"/>
  <c r="I184" i="1"/>
</calcChain>
</file>

<file path=xl/sharedStrings.xml><?xml version="1.0" encoding="utf-8"?>
<sst xmlns="http://schemas.openxmlformats.org/spreadsheetml/2006/main" count="445" uniqueCount="220">
  <si>
    <t>Strategy Tester Report</t>
  </si>
  <si>
    <t>XMGlobal-MT5 7 (Build 6090)</t>
  </si>
  <si>
    <t>Settings</t>
  </si>
  <si>
    <t>Expert:</t>
  </si>
  <si>
    <t>9AU_OIL_WTI_COMBINE_M5_CAP300_v4_63</t>
  </si>
  <si>
    <t>Symbol:</t>
  </si>
  <si>
    <t>OILCash#</t>
  </si>
  <si>
    <t>Period:</t>
  </si>
  <si>
    <t>M5 (2025.08.01 - 2026.04.30)</t>
  </si>
  <si>
    <t>Inputs:</t>
  </si>
  <si>
    <t>InpMagicNumber=919293</t>
  </si>
  <si>
    <t>=== Step A: Entry Filter ====</t>
  </si>
  <si>
    <t>InpTrendEMA=200</t>
  </si>
  <si>
    <t>InpFilterTF=16388</t>
  </si>
  <si>
    <t>InpRSIPeriod=14</t>
  </si>
  <si>
    <t>InpRSIUpperLevel=68.0</t>
  </si>
  <si>
    <t>InpRSILowerLevel=50.0</t>
  </si>
  <si>
    <t>=== Silver RSI Pro Filter ====</t>
  </si>
  <si>
    <t>InpRSIPeriodH1=14</t>
  </si>
  <si>
    <t>InpRSILowerLevelH1=50.0</t>
  </si>
  <si>
    <t>InpRSIUpperLevelH1=60.0</t>
  </si>
  <si>
    <t>InpUseDualTF=true</t>
  </si>
  <si>
    <t>InpRSIEntryMode=1</t>
  </si>
  <si>
    <t>=== Step B: Grid &amp; Lot ====</t>
  </si>
  <si>
    <t>InpEnableDynamicGrid=true</t>
  </si>
  <si>
    <t>InpATRPeriod=14</t>
  </si>
  <si>
    <t>InpATRMultiplier=5.0</t>
  </si>
  <si>
    <t>InpMinGridDistanceUSD=0.3</t>
  </si>
  <si>
    <t>InpInitialLot=0.05</t>
  </si>
  <si>
    <t>InpBaseMultiplier=1.25</t>
  </si>
  <si>
    <t>InpReductionStep=0.02</t>
  </si>
  <si>
    <t>InpMinMultiplier=1.05</t>
  </si>
  <si>
    <t>InpMaxOrders=5</t>
  </si>
  <si>
    <t>=== Step C: Sell Basket (Dual-Basket) ====</t>
  </si>
  <si>
    <t>InpEnableSell=false</t>
  </si>
  <si>
    <t>InpSellSLMultiplier=3.5</t>
  </si>
  <si>
    <t>InpSellTrailStartUSD=8.0</t>
  </si>
  <si>
    <t>InpSellTrailStepATR=1.5</t>
  </si>
  <si>
    <t>InpSellBasketTP=25.0</t>
  </si>
  <si>
    <t>InpSellExposurePct=0.5</t>
  </si>
  <si>
    <t>=== Step D: Profit &amp; Exit ====</t>
  </si>
  <si>
    <t>InpBasketTP=40.0</t>
  </si>
  <si>
    <t>InpEnablePartialClose=true</t>
  </si>
  <si>
    <t>InpPartialCloseLevel=0.5</t>
  </si>
  <si>
    <t>InpHardSLMultiplier=8.0</t>
  </si>
  <si>
    <t>InpMinHoldBars=12</t>
  </si>
  <si>
    <t>=== Step E: News Filter ====</t>
  </si>
  <si>
    <t>EnableNewsFilter=true</t>
  </si>
  <si>
    <t>NewsBeforeMinutes=60</t>
  </si>
  <si>
    <t>NewsAfterMinutes=60</t>
  </si>
  <si>
    <t>NewsHighImpactOnly=true</t>
  </si>
  <si>
    <t>=== Step F: Safety &amp; Protection ====</t>
  </si>
  <si>
    <t>InpEnableEquityStop=true</t>
  </si>
  <si>
    <t>InpTrailStartUSD=18.0</t>
  </si>
  <si>
    <t>InpTrailStepATR=2.0</t>
  </si>
  <si>
    <t>InpMaxHoldDays=60</t>
  </si>
  <si>
    <t>InpMinATRThreshold=0.02</t>
  </si>
  <si>
    <t>InpMaxSpreadBase=35.0</t>
  </si>
  <si>
    <t>InpMaxSpreadHighVol=40.0</t>
  </si>
  <si>
    <t>InpExposureFactor=0.1</t>
  </si>
  <si>
    <t>InpMaxExposurePercent=300.0</t>
  </si>
  <si>
    <t>InpMinMarginLevel=300.0</t>
  </si>
  <si>
    <t>=== Step G: Time Filter ====</t>
  </si>
  <si>
    <t>EnableTimeFilter=true</t>
  </si>
  <si>
    <t>TradingStartHour=6</t>
  </si>
  <si>
    <t>TradingEndHour=2</t>
  </si>
  <si>
    <t>StopFridayAfterClose=true</t>
  </si>
  <si>
    <t>FridayCloseHour=18</t>
  </si>
  <si>
    <t>=== Step H: Daily Loss Limit ====</t>
  </si>
  <si>
    <t>EnableDailyLossLimit=true</t>
  </si>
  <si>
    <t>MaxDailyLossPercent=3.0</t>
  </si>
  <si>
    <t>=== Step I: Kill Switch (3-Level HWM DD) ====</t>
  </si>
  <si>
    <t>InpWarnDD=8.0</t>
  </si>
  <si>
    <t>InpFreezeDD=12.0</t>
  </si>
  <si>
    <t>InpKillDD=18.0</t>
  </si>
  <si>
    <t>=== Step J: House Money Architecture ====</t>
  </si>
  <si>
    <t>InpBaseBalance=300.0</t>
  </si>
  <si>
    <t>InpCapRecoveryPct=100.0</t>
  </si>
  <si>
    <t>=== Step K: Compound Selective ====</t>
  </si>
  <si>
    <t>InpLotMode=1</t>
  </si>
  <si>
    <t>InpCompoundStartMult=1.5</t>
  </si>
  <si>
    <t>InpCompoundDDSoftBrake=15.0</t>
  </si>
  <si>
    <t>InpCompoundMaxDD=22.0</t>
  </si>
  <si>
    <t>InpCompoundDailyLoss=3.0</t>
  </si>
  <si>
    <t>=== Step L: Telegram Notify ====</t>
  </si>
  <si>
    <t>InpEnableTelegram=true</t>
  </si>
  <si>
    <t>InpToken=8663985469:AAGo473sGCgrWBhKNFLz6p-LGe86ftDvxZE</t>
  </si>
  <si>
    <t>InpChatID=8053031320</t>
  </si>
  <si>
    <t>=== Step N: Manual DCA (Cumulative Total, ไม่ใช่ยอดต่อเดือน) ===</t>
  </si>
  <si>
    <t>InpDCAtoAdd=0.0</t>
  </si>
  <si>
    <t>=== Step M: Debug ====</t>
  </si>
  <si>
    <t>InpDebugGridTest=false</t>
  </si>
  <si>
    <t>InpDebugGridDist=0.2</t>
  </si>
  <si>
    <t>InpDebugDisableExposure=false</t>
  </si>
  <si>
    <t>Company:</t>
  </si>
  <si>
    <t>XM Global Limited</t>
  </si>
  <si>
    <t>Currency:</t>
  </si>
  <si>
    <t>USD</t>
  </si>
  <si>
    <t>Initial Deposit:</t>
  </si>
  <si>
    <t>Leverage:</t>
  </si>
  <si>
    <t>1:1000</t>
  </si>
  <si>
    <t>Results</t>
  </si>
  <si>
    <t>History Quality:</t>
  </si>
  <si>
    <t>100% real ticks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</si>
  <si>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</si>
  <si>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</si>
  <si>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</si>
  <si>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</si>
  <si>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</si>
  <si>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</si>
  <si>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</si>
  <si>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</si>
  <si>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2.85 (0.95%)</t>
  </si>
  <si>
    <t>Equity Drawdown Maximal:</t>
  </si>
  <si>
    <t>25.10 (7.58%)</t>
  </si>
  <si>
    <t>Gross Loss:</t>
  </si>
  <si>
    <t>Balance Drawdown Relative:</t>
  </si>
  <si>
    <t>0.95% (2.85)</t>
  </si>
  <si>
    <t>Equity Drawdown Relative:</t>
  </si>
  <si>
    <t>7.58% (25.10)</t>
  </si>
  <si>
    <t>Profit Factor:</t>
  </si>
  <si>
    <t>Expected Payoff:</t>
  </si>
  <si>
    <t>Margin Level:</t>
  </si>
  <si>
    <t>15100.00%</t>
  </si>
  <si>
    <t>Recovery Factor:</t>
  </si>
  <si>
    <t>Sharpe Ratio:</t>
  </si>
  <si>
    <t>Z-Score:</t>
  </si>
  <si>
    <t>-0.96 (66.29%)</t>
  </si>
  <si>
    <t>AHPR:</t>
  </si>
  <si>
    <t>1.0077 (0.77%)</t>
  </si>
  <si>
    <t>LR Correlation:</t>
  </si>
  <si>
    <t>OnTester result:</t>
  </si>
  <si>
    <t>0</t>
  </si>
  <si>
    <t>GHPR: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</si>
  <si>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</si>
  <si>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</si>
  <si>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</si>
  <si>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</si>
  <si>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</si>
  <si>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2:32:56</t>
  </si>
  <si>
    <t>Maximal position holding time:</t>
  </si>
  <si>
    <t>31:44:02</t>
  </si>
  <si>
    <t>Average position holding time:</t>
  </si>
  <si>
    <t>12:48:34</t>
  </si>
  <si>
    <t>Total Trades:</t>
  </si>
  <si>
    <t>Short Trades (won %):</t>
  </si>
  <si>
    <t>0 (0.00%)</t>
  </si>
  <si>
    <t>Long Trades (won %):</t>
  </si>
  <si>
    <t>13 (92.31%)</t>
  </si>
  <si>
    <t>Total Deals:</t>
  </si>
  <si>
    <t>Profit Trades (% of total):</t>
  </si>
  <si>
    <t>12 (92.31%)</t>
  </si>
  <si>
    <t>Loss Trades (% of total):</t>
  </si>
  <si>
    <t>1 (7.69%)</t>
  </si>
  <si>
    <t>Largest profit trade:</t>
  </si>
  <si>
    <t>Largest loss trade:</t>
  </si>
  <si>
    <t>Average profit trade:</t>
  </si>
  <si>
    <t>Average loss trade:</t>
  </si>
  <si>
    <t>Maximum consecutive wins ($):</t>
  </si>
  <si>
    <t>12 (34.20)</t>
  </si>
  <si>
    <t>Maximum consecutive losses ($):</t>
  </si>
  <si>
    <t>1 (-2.85)</t>
  </si>
  <si>
    <t>Maximal consecutive profit (count):</t>
  </si>
  <si>
    <t>34.20 (12)</t>
  </si>
  <si>
    <t>Maximal consecutive loss (count):</t>
  </si>
  <si>
    <t>-2.85 (1)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</si>
  <si>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</si>
  <si>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</si>
  <si>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</si>
  <si>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</si>
  <si>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</si>
  <si>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</si>
  <si>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</si>
  <si>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</si>
  <si>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</si>
  <si>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</si>
  <si>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</si>
  <si>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</si>
  <si>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</si>
  <si>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</si>
  <si>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2026.02.12 09:55:00</t>
  </si>
  <si>
    <t>buy</t>
  </si>
  <si>
    <t>0.05 / 0.05</t>
  </si>
  <si>
    <t>filled</t>
  </si>
  <si>
    <t>9AU_WTI_OIL Sniper</t>
  </si>
  <si>
    <t>2026.02.12 12:27:56</t>
  </si>
  <si>
    <t>sell</t>
  </si>
  <si>
    <t>sl 64.35</t>
  </si>
  <si>
    <t>2026.02.23 21:50:02</t>
  </si>
  <si>
    <t>2026.02.24 21:02:44</t>
  </si>
  <si>
    <t>0.06 / 0.06</t>
  </si>
  <si>
    <t>9AU_WTI_OIL Grid</t>
  </si>
  <si>
    <t>2026.02.24 21:02:46</t>
  </si>
  <si>
    <t>2026.02.24 21:02:47</t>
  </si>
  <si>
    <t>2026.02.24 21:02:48</t>
  </si>
  <si>
    <t>2026.02.25 05:34:02</t>
  </si>
  <si>
    <t>0.03 / 0.03</t>
  </si>
  <si>
    <t>2026.02.25 05:34:03</t>
  </si>
  <si>
    <t>2026.02.25 05:34:04</t>
  </si>
  <si>
    <t>0.02 / 0.02</t>
  </si>
  <si>
    <t>sl 66.54</t>
  </si>
  <si>
    <t>2026.03.18 20:35:00</t>
  </si>
  <si>
    <t>2026.03.19 17:46:36</t>
  </si>
  <si>
    <t>2026.03.19 17:52:49</t>
  </si>
  <si>
    <t>sl 100.56</t>
  </si>
  <si>
    <t>Deals</t>
  </si>
  <si>
    <t>Deal</t>
  </si>
  <si>
    <t>Direction</t>
  </si>
  <si>
    <t>Commission</t>
  </si>
  <si>
    <t>Swap</t>
  </si>
  <si>
    <t>Profit</t>
  </si>
  <si>
    <t>Balance</t>
  </si>
  <si>
    <t>2025.08.01 00:00:00</t>
  </si>
  <si>
    <t>balance</t>
  </si>
  <si>
    <t>in</t>
  </si>
  <si>
    <t>0.05</t>
  </si>
  <si>
    <t>out</t>
  </si>
  <si>
    <t>0.06</t>
  </si>
  <si>
    <t>0.03</t>
  </si>
  <si>
    <t>0.02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</si>
</sst>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3" fillId="5" borderId="0" xfId="0" applyFont="1" applyFill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165" fontId="4" fillId="5" borderId="0" xfId="0" applyNumberFormat="1" applyFont="1" applyFill="1" applyAlignment="1">
      <alignment horizontal="right" vertical="center"/>
    </xf>
    <xf numFmtId="164" fontId="4" fillId="5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4" fillId="5" borderId="0" xfId="0" applyNumberFormat="1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Sheet1!$A$163:$A$183</c:f>
              <c:strCache>
                <c:ptCount val="21"/>
                <c:pt idx="0">
                  <c:v>2025.08.01 00:00:00</c:v>
                </c:pt>
                <c:pt idx="1">
                  <c:v>2026.02.12 09:55:00</c:v>
                </c:pt>
                <c:pt idx="2">
                  <c:v>2026.02.12 12:27:56</c:v>
                </c:pt>
                <c:pt idx="3">
                  <c:v>2026.02.23 21:50:02</c:v>
                </c:pt>
                <c:pt idx="4">
                  <c:v>2026.02.24 21:02:44</c:v>
                </c:pt>
                <c:pt idx="5">
                  <c:v>2026.02.24 21:02:46</c:v>
                </c:pt>
                <c:pt idx="6">
                  <c:v>2026.02.24 21:02:47</c:v>
                </c:pt>
                <c:pt idx="7">
                  <c:v>2026.02.24 21:02:48</c:v>
                </c:pt>
                <c:pt idx="8">
                  <c:v>2026.02.25 05:34:02</c:v>
                </c:pt>
                <c:pt idx="9">
                  <c:v>2026.02.25 05:34:02</c:v>
                </c:pt>
                <c:pt idx="10">
                  <c:v>2026.02.25 05:34:03</c:v>
                </c:pt>
                <c:pt idx="11">
                  <c:v>2026.02.25 05:34:03</c:v>
                </c:pt>
                <c:pt idx="12">
                  <c:v>2026.02.25 05:34:03</c:v>
                </c:pt>
                <c:pt idx="13">
                  <c:v>2026.02.25 05:34:04</c:v>
                </c:pt>
                <c:pt idx="14">
                  <c:v>2026.02.25 05:34:04</c:v>
                </c:pt>
                <c:pt idx="15">
                  <c:v>2026.02.25 05:34:04</c:v>
                </c:pt>
                <c:pt idx="16">
                  <c:v>2026.02.25 05:34:04</c:v>
                </c:pt>
                <c:pt idx="17">
                  <c:v>2026.02.25 05:34:04</c:v>
                </c:pt>
                <c:pt idx="18">
                  <c:v>2026.03.18 20:35:00</c:v>
                </c:pt>
                <c:pt idx="19">
                  <c:v>2026.03.19 17:46:36</c:v>
                </c:pt>
                <c:pt idx="20">
                  <c:v>2026.03.19 17:52:49</c:v>
                </c:pt>
              </c:strCache>
            </c:strRef>
          </c:cat>
          <c:val>
            <c:numRef>
              <c:f>Sheet1!$L$163:$L$183</c:f>
              <c:numCache>
                <c:formatCode>#\ ##0.00;\-#\ ##0.00;0.00;</c:formatCode>
                <c:ptCount val="21"/>
                <c:pt idx="0">
                  <c:v>300</c:v>
                </c:pt>
                <c:pt idx="1">
                  <c:v>300</c:v>
                </c:pt>
                <c:pt idx="2">
                  <c:v>297.14999999999998</c:v>
                </c:pt>
                <c:pt idx="3">
                  <c:v>297.14999999999998</c:v>
                </c:pt>
                <c:pt idx="4">
                  <c:v>297.14999999999998</c:v>
                </c:pt>
                <c:pt idx="5">
                  <c:v>297.14999999999998</c:v>
                </c:pt>
                <c:pt idx="6">
                  <c:v>297.14999999999998</c:v>
                </c:pt>
                <c:pt idx="7">
                  <c:v>297.14999999999998</c:v>
                </c:pt>
                <c:pt idx="8">
                  <c:v>299.49</c:v>
                </c:pt>
                <c:pt idx="9">
                  <c:v>301.86</c:v>
                </c:pt>
                <c:pt idx="10">
                  <c:v>304.17</c:v>
                </c:pt>
                <c:pt idx="11">
                  <c:v>306.45</c:v>
                </c:pt>
                <c:pt idx="12">
                  <c:v>307.17</c:v>
                </c:pt>
                <c:pt idx="13">
                  <c:v>307.25</c:v>
                </c:pt>
                <c:pt idx="14">
                  <c:v>308.93</c:v>
                </c:pt>
                <c:pt idx="15">
                  <c:v>310.64</c:v>
                </c:pt>
                <c:pt idx="16">
                  <c:v>312.38</c:v>
                </c:pt>
                <c:pt idx="17">
                  <c:v>314.08999999999997</c:v>
                </c:pt>
                <c:pt idx="18">
                  <c:v>314.08999999999997</c:v>
                </c:pt>
                <c:pt idx="19">
                  <c:v>326.08999999999997</c:v>
                </c:pt>
                <c:pt idx="20">
                  <c:v>331.35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8B-407C-BC4B-70500AE1C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364"/>
          <c:min val="267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117</xdr:row>
      <xdr:rowOff>0</xdr:rowOff>
    </xdr:from>
    <xdr:to>
      <xdr:col>13</xdr:col>
      <xdr:colOff>0</xdr:colOff>
      <xdr:row>137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4"/>
  <sheetViews>
    <sheetView tabSelected="1" workbookViewId="0">
      <selection activeCell="D5" sqref="D5:N5"/>
    </sheetView>
  </sheetViews>
  <sheetFormatPr defaultRowHeight="15" customHeight="1" x14ac:dyDescent="0.2"/>
  <cols>
    <col min="1" max="1" width="13" bestFit="1" customWidth="1"/>
    <col min="2" max="2" width="7" bestFit="1" customWidth="1"/>
    <col min="3" max="3" width="9" bestFit="1" customWidth="1"/>
    <col min="4" max="4" width="13.625" customWidth="1"/>
    <col min="5" max="7" width="8" bestFit="1" customWidth="1"/>
    <col min="8" max="8" width="15.125" customWidth="1"/>
    <col min="9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ht="15" customHeight="1" x14ac:dyDescent="0.2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ht="24.95" customHeight="1" x14ac:dyDescent="0.2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ht="15" customHeight="1" x14ac:dyDescent="0.2">
      <c r="A4" s="9" t="s">
        <v>3</v>
      </c>
      <c r="B4" s="9"/>
      <c r="C4" s="9"/>
      <c r="D4" s="24" t="s">
        <v>4</v>
      </c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ht="15" customHeight="1" x14ac:dyDescent="0.2">
      <c r="A5" s="9" t="s">
        <v>5</v>
      </c>
      <c r="B5" s="9"/>
      <c r="C5" s="9"/>
      <c r="D5" s="22" t="s">
        <v>6</v>
      </c>
      <c r="E5" s="22"/>
      <c r="F5" s="22"/>
      <c r="G5" s="22"/>
      <c r="H5" s="22"/>
      <c r="I5" s="22"/>
      <c r="J5" s="22"/>
      <c r="K5" s="22"/>
      <c r="L5" s="22"/>
      <c r="M5" s="22"/>
      <c r="N5" s="22"/>
    </row>
    <row r="6" spans="1:14" ht="15" customHeight="1" x14ac:dyDescent="0.2">
      <c r="A6" s="9" t="s">
        <v>7</v>
      </c>
      <c r="B6" s="9"/>
      <c r="C6" s="9"/>
      <c r="D6" s="24" t="s">
        <v>8</v>
      </c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 ht="15" customHeight="1" x14ac:dyDescent="0.2">
      <c r="A7" s="9" t="s">
        <v>9</v>
      </c>
      <c r="B7" s="9"/>
      <c r="C7" s="9"/>
      <c r="D7" s="22" t="s">
        <v>10</v>
      </c>
      <c r="E7" s="22"/>
      <c r="F7" s="22"/>
      <c r="G7" s="22"/>
      <c r="H7" s="22"/>
      <c r="I7" s="22"/>
      <c r="J7" s="22"/>
      <c r="K7" s="22"/>
      <c r="L7" s="22"/>
      <c r="M7" s="22"/>
      <c r="N7" s="22"/>
    </row>
    <row r="8" spans="1:14" ht="15" customHeight="1" x14ac:dyDescent="0.2">
      <c r="D8" s="22" t="s">
        <v>11</v>
      </c>
      <c r="E8" s="22"/>
      <c r="F8" s="22"/>
      <c r="G8" s="22"/>
      <c r="H8" s="22"/>
      <c r="I8" s="22"/>
      <c r="J8" s="22"/>
      <c r="K8" s="22"/>
      <c r="L8" s="22"/>
      <c r="M8" s="22"/>
      <c r="N8" s="22"/>
    </row>
    <row r="9" spans="1:14" ht="15" customHeight="1" x14ac:dyDescent="0.2">
      <c r="D9" s="22" t="s">
        <v>12</v>
      </c>
      <c r="E9" s="22"/>
      <c r="F9" s="22"/>
      <c r="G9" s="22"/>
      <c r="H9" s="22"/>
      <c r="I9" s="22"/>
      <c r="J9" s="22"/>
      <c r="K9" s="22"/>
      <c r="L9" s="22"/>
      <c r="M9" s="22"/>
      <c r="N9" s="22"/>
    </row>
    <row r="10" spans="1:14" ht="15" customHeight="1" x14ac:dyDescent="0.2">
      <c r="D10" s="22" t="s">
        <v>13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</row>
    <row r="11" spans="1:14" ht="15" customHeight="1" x14ac:dyDescent="0.2">
      <c r="D11" s="22" t="s">
        <v>14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</row>
    <row r="12" spans="1:14" ht="15" customHeight="1" x14ac:dyDescent="0.2">
      <c r="D12" s="22" t="s">
        <v>15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</row>
    <row r="13" spans="1:14" ht="15" customHeight="1" x14ac:dyDescent="0.2">
      <c r="D13" s="22" t="s">
        <v>16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</row>
    <row r="14" spans="1:14" ht="15" customHeight="1" x14ac:dyDescent="0.2">
      <c r="D14" s="22" t="s">
        <v>17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</row>
    <row r="15" spans="1:14" ht="15" customHeight="1" x14ac:dyDescent="0.2">
      <c r="D15" s="22" t="s">
        <v>18</v>
      </c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spans="1:14" ht="15" customHeight="1" x14ac:dyDescent="0.2">
      <c r="D16" s="22" t="s">
        <v>19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</row>
    <row r="17" spans="4:14" ht="15" customHeight="1" x14ac:dyDescent="0.2">
      <c r="D17" s="22" t="s">
        <v>20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</row>
    <row r="18" spans="4:14" ht="15" customHeight="1" x14ac:dyDescent="0.2">
      <c r="D18" s="22" t="s">
        <v>21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</row>
    <row r="19" spans="4:14" ht="15" customHeight="1" x14ac:dyDescent="0.2">
      <c r="D19" s="22" t="s">
        <v>22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</row>
    <row r="20" spans="4:14" ht="15" customHeight="1" x14ac:dyDescent="0.2">
      <c r="D20" s="22" t="s">
        <v>23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</row>
    <row r="21" spans="4:14" ht="15" customHeight="1" x14ac:dyDescent="0.2">
      <c r="D21" s="22" t="s">
        <v>24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</row>
    <row r="22" spans="4:14" ht="15" customHeight="1" x14ac:dyDescent="0.2">
      <c r="D22" s="22" t="s">
        <v>25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</row>
    <row r="23" spans="4:14" ht="15" customHeight="1" x14ac:dyDescent="0.2">
      <c r="D23" s="22" t="s">
        <v>26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</row>
    <row r="24" spans="4:14" ht="15" customHeight="1" x14ac:dyDescent="0.2">
      <c r="D24" s="22" t="s">
        <v>27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</row>
    <row r="25" spans="4:14" ht="15" customHeight="1" x14ac:dyDescent="0.2">
      <c r="D25" s="22" t="s">
        <v>28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4:14" ht="15" customHeight="1" x14ac:dyDescent="0.2">
      <c r="D26" s="22" t="s">
        <v>29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</row>
    <row r="27" spans="4:14" ht="15" customHeight="1" x14ac:dyDescent="0.2">
      <c r="D27" s="22" t="s">
        <v>30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</row>
    <row r="28" spans="4:14" ht="15" customHeight="1" x14ac:dyDescent="0.2">
      <c r="D28" s="22" t="s">
        <v>31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</row>
    <row r="29" spans="4:14" ht="15" customHeight="1" x14ac:dyDescent="0.2">
      <c r="D29" s="22" t="s">
        <v>32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</row>
    <row r="30" spans="4:14" ht="15" customHeight="1" x14ac:dyDescent="0.2">
      <c r="D30" s="22" t="s">
        <v>33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</row>
    <row r="31" spans="4:14" ht="15" customHeight="1" x14ac:dyDescent="0.2">
      <c r="D31" s="22" t="s">
        <v>34</v>
      </c>
      <c r="E31" s="22"/>
      <c r="F31" s="22"/>
      <c r="G31" s="22"/>
      <c r="H31" s="22"/>
      <c r="I31" s="22"/>
      <c r="J31" s="22"/>
      <c r="K31" s="22"/>
      <c r="L31" s="22"/>
      <c r="M31" s="22"/>
      <c r="N31" s="22"/>
    </row>
    <row r="32" spans="4:14" ht="15" customHeight="1" x14ac:dyDescent="0.2">
      <c r="D32" s="22" t="s">
        <v>35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</row>
    <row r="33" spans="4:14" ht="15" customHeight="1" x14ac:dyDescent="0.2">
      <c r="D33" s="22" t="s">
        <v>36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</row>
    <row r="34" spans="4:14" ht="15" customHeight="1" x14ac:dyDescent="0.2">
      <c r="D34" s="22" t="s">
        <v>37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</row>
    <row r="35" spans="4:14" ht="15" customHeight="1" x14ac:dyDescent="0.2">
      <c r="D35" s="22" t="s">
        <v>38</v>
      </c>
      <c r="E35" s="22"/>
      <c r="F35" s="22"/>
      <c r="G35" s="22"/>
      <c r="H35" s="22"/>
      <c r="I35" s="22"/>
      <c r="J35" s="22"/>
      <c r="K35" s="22"/>
      <c r="L35" s="22"/>
      <c r="M35" s="22"/>
      <c r="N35" s="22"/>
    </row>
    <row r="36" spans="4:14" ht="15" customHeight="1" x14ac:dyDescent="0.2">
      <c r="D36" s="22" t="s">
        <v>39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</row>
    <row r="37" spans="4:14" ht="15" customHeight="1" x14ac:dyDescent="0.2">
      <c r="D37" s="22" t="s">
        <v>40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</row>
    <row r="38" spans="4:14" ht="15" customHeight="1" x14ac:dyDescent="0.2">
      <c r="D38" s="22" t="s">
        <v>41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</row>
    <row r="39" spans="4:14" ht="15" customHeight="1" x14ac:dyDescent="0.2">
      <c r="D39" s="22" t="s">
        <v>42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</row>
    <row r="40" spans="4:14" ht="15" customHeight="1" x14ac:dyDescent="0.2">
      <c r="D40" s="22" t="s">
        <v>43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</row>
    <row r="41" spans="4:14" ht="15" customHeight="1" x14ac:dyDescent="0.2">
      <c r="D41" s="22" t="s">
        <v>44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</row>
    <row r="42" spans="4:14" ht="15" customHeight="1" x14ac:dyDescent="0.2">
      <c r="D42" s="22" t="s">
        <v>45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</row>
    <row r="43" spans="4:14" ht="15" customHeight="1" x14ac:dyDescent="0.2">
      <c r="D43" s="22" t="s">
        <v>46</v>
      </c>
      <c r="E43" s="22"/>
      <c r="F43" s="22"/>
      <c r="G43" s="22"/>
      <c r="H43" s="22"/>
      <c r="I43" s="22"/>
      <c r="J43" s="22"/>
      <c r="K43" s="22"/>
      <c r="L43" s="22"/>
      <c r="M43" s="22"/>
      <c r="N43" s="22"/>
    </row>
    <row r="44" spans="4:14" ht="15" customHeight="1" x14ac:dyDescent="0.2">
      <c r="D44" s="22" t="s">
        <v>47</v>
      </c>
      <c r="E44" s="22"/>
      <c r="F44" s="22"/>
      <c r="G44" s="22"/>
      <c r="H44" s="22"/>
      <c r="I44" s="22"/>
      <c r="J44" s="22"/>
      <c r="K44" s="22"/>
      <c r="L44" s="22"/>
      <c r="M44" s="22"/>
      <c r="N44" s="22"/>
    </row>
    <row r="45" spans="4:14" ht="15" customHeight="1" x14ac:dyDescent="0.2">
      <c r="D45" s="22" t="s">
        <v>48</v>
      </c>
      <c r="E45" s="22"/>
      <c r="F45" s="22"/>
      <c r="G45" s="22"/>
      <c r="H45" s="22"/>
      <c r="I45" s="22"/>
      <c r="J45" s="22"/>
      <c r="K45" s="22"/>
      <c r="L45" s="22"/>
      <c r="M45" s="22"/>
      <c r="N45" s="22"/>
    </row>
    <row r="46" spans="4:14" ht="15" customHeight="1" x14ac:dyDescent="0.2">
      <c r="D46" s="22" t="s">
        <v>49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</row>
    <row r="47" spans="4:14" ht="15" customHeight="1" x14ac:dyDescent="0.2">
      <c r="D47" s="22" t="s">
        <v>50</v>
      </c>
      <c r="E47" s="22"/>
      <c r="F47" s="22"/>
      <c r="G47" s="22"/>
      <c r="H47" s="22"/>
      <c r="I47" s="22"/>
      <c r="J47" s="22"/>
      <c r="K47" s="22"/>
      <c r="L47" s="22"/>
      <c r="M47" s="22"/>
      <c r="N47" s="22"/>
    </row>
    <row r="48" spans="4:14" ht="15" customHeight="1" x14ac:dyDescent="0.2">
      <c r="D48" s="22" t="s">
        <v>51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</row>
    <row r="49" spans="4:14" ht="15" customHeight="1" x14ac:dyDescent="0.2">
      <c r="D49" s="22" t="s">
        <v>52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</row>
    <row r="50" spans="4:14" ht="15" customHeight="1" x14ac:dyDescent="0.2">
      <c r="D50" s="22" t="s">
        <v>53</v>
      </c>
      <c r="E50" s="22"/>
      <c r="F50" s="22"/>
      <c r="G50" s="22"/>
      <c r="H50" s="22"/>
      <c r="I50" s="22"/>
      <c r="J50" s="22"/>
      <c r="K50" s="22"/>
      <c r="L50" s="22"/>
      <c r="M50" s="22"/>
      <c r="N50" s="22"/>
    </row>
    <row r="51" spans="4:14" ht="15" customHeight="1" x14ac:dyDescent="0.2">
      <c r="D51" s="22" t="s">
        <v>54</v>
      </c>
      <c r="E51" s="22"/>
      <c r="F51" s="22"/>
      <c r="G51" s="22"/>
      <c r="H51" s="22"/>
      <c r="I51" s="22"/>
      <c r="J51" s="22"/>
      <c r="K51" s="22"/>
      <c r="L51" s="22"/>
      <c r="M51" s="22"/>
      <c r="N51" s="22"/>
    </row>
    <row r="52" spans="4:14" ht="15" customHeight="1" x14ac:dyDescent="0.2">
      <c r="D52" s="22" t="s">
        <v>55</v>
      </c>
      <c r="E52" s="22"/>
      <c r="F52" s="22"/>
      <c r="G52" s="22"/>
      <c r="H52" s="22"/>
      <c r="I52" s="22"/>
      <c r="J52" s="22"/>
      <c r="K52" s="22"/>
      <c r="L52" s="22"/>
      <c r="M52" s="22"/>
      <c r="N52" s="22"/>
    </row>
    <row r="53" spans="4:14" ht="15" customHeight="1" x14ac:dyDescent="0.2">
      <c r="D53" s="22" t="s">
        <v>56</v>
      </c>
      <c r="E53" s="22"/>
      <c r="F53" s="22"/>
      <c r="G53" s="22"/>
      <c r="H53" s="22"/>
      <c r="I53" s="22"/>
      <c r="J53" s="22"/>
      <c r="K53" s="22"/>
      <c r="L53" s="22"/>
      <c r="M53" s="22"/>
      <c r="N53" s="22"/>
    </row>
    <row r="54" spans="4:14" ht="15" customHeight="1" x14ac:dyDescent="0.2">
      <c r="D54" s="22" t="s">
        <v>57</v>
      </c>
      <c r="E54" s="22"/>
      <c r="F54" s="22"/>
      <c r="G54" s="22"/>
      <c r="H54" s="22"/>
      <c r="I54" s="22"/>
      <c r="J54" s="22"/>
      <c r="K54" s="22"/>
      <c r="L54" s="22"/>
      <c r="M54" s="22"/>
      <c r="N54" s="22"/>
    </row>
    <row r="55" spans="4:14" ht="15" customHeight="1" x14ac:dyDescent="0.2">
      <c r="D55" s="22" t="s">
        <v>58</v>
      </c>
      <c r="E55" s="22"/>
      <c r="F55" s="22"/>
      <c r="G55" s="22"/>
      <c r="H55" s="22"/>
      <c r="I55" s="22"/>
      <c r="J55" s="22"/>
      <c r="K55" s="22"/>
      <c r="L55" s="22"/>
      <c r="M55" s="22"/>
      <c r="N55" s="22"/>
    </row>
    <row r="56" spans="4:14" ht="15" customHeight="1" x14ac:dyDescent="0.2">
      <c r="D56" s="22" t="s">
        <v>59</v>
      </c>
      <c r="E56" s="22"/>
      <c r="F56" s="22"/>
      <c r="G56" s="22"/>
      <c r="H56" s="22"/>
      <c r="I56" s="22"/>
      <c r="J56" s="22"/>
      <c r="K56" s="22"/>
      <c r="L56" s="22"/>
      <c r="M56" s="22"/>
      <c r="N56" s="22"/>
    </row>
    <row r="57" spans="4:14" ht="15" customHeight="1" x14ac:dyDescent="0.2">
      <c r="D57" s="22" t="s">
        <v>60</v>
      </c>
      <c r="E57" s="22"/>
      <c r="F57" s="22"/>
      <c r="G57" s="22"/>
      <c r="H57" s="22"/>
      <c r="I57" s="22"/>
      <c r="J57" s="22"/>
      <c r="K57" s="22"/>
      <c r="L57" s="22"/>
      <c r="M57" s="22"/>
      <c r="N57" s="22"/>
    </row>
    <row r="58" spans="4:14" ht="15" customHeight="1" x14ac:dyDescent="0.2">
      <c r="D58" s="22" t="s">
        <v>61</v>
      </c>
      <c r="E58" s="22"/>
      <c r="F58" s="22"/>
      <c r="G58" s="22"/>
      <c r="H58" s="22"/>
      <c r="I58" s="22"/>
      <c r="J58" s="22"/>
      <c r="K58" s="22"/>
      <c r="L58" s="22"/>
      <c r="M58" s="22"/>
      <c r="N58" s="22"/>
    </row>
    <row r="59" spans="4:14" ht="15" customHeight="1" x14ac:dyDescent="0.2">
      <c r="D59" s="22" t="s">
        <v>62</v>
      </c>
      <c r="E59" s="22"/>
      <c r="F59" s="22"/>
      <c r="G59" s="22"/>
      <c r="H59" s="22"/>
      <c r="I59" s="22"/>
      <c r="J59" s="22"/>
      <c r="K59" s="22"/>
      <c r="L59" s="22"/>
      <c r="M59" s="22"/>
      <c r="N59" s="22"/>
    </row>
    <row r="60" spans="4:14" ht="15" customHeight="1" x14ac:dyDescent="0.2">
      <c r="D60" s="22" t="s">
        <v>63</v>
      </c>
      <c r="E60" s="22"/>
      <c r="F60" s="22"/>
      <c r="G60" s="22"/>
      <c r="H60" s="22"/>
      <c r="I60" s="22"/>
      <c r="J60" s="22"/>
      <c r="K60" s="22"/>
      <c r="L60" s="22"/>
      <c r="M60" s="22"/>
      <c r="N60" s="22"/>
    </row>
    <row r="61" spans="4:14" ht="15" customHeight="1" x14ac:dyDescent="0.2">
      <c r="D61" s="22" t="s">
        <v>64</v>
      </c>
      <c r="E61" s="22"/>
      <c r="F61" s="22"/>
      <c r="G61" s="22"/>
      <c r="H61" s="22"/>
      <c r="I61" s="22"/>
      <c r="J61" s="22"/>
      <c r="K61" s="22"/>
      <c r="L61" s="22"/>
      <c r="M61" s="22"/>
      <c r="N61" s="22"/>
    </row>
    <row r="62" spans="4:14" ht="15" customHeight="1" x14ac:dyDescent="0.2">
      <c r="D62" s="22" t="s">
        <v>65</v>
      </c>
      <c r="E62" s="22"/>
      <c r="F62" s="22"/>
      <c r="G62" s="22"/>
      <c r="H62" s="22"/>
      <c r="I62" s="22"/>
      <c r="J62" s="22"/>
      <c r="K62" s="22"/>
      <c r="L62" s="22"/>
      <c r="M62" s="22"/>
      <c r="N62" s="22"/>
    </row>
    <row r="63" spans="4:14" ht="15" customHeight="1" x14ac:dyDescent="0.2">
      <c r="D63" s="22" t="s">
        <v>66</v>
      </c>
      <c r="E63" s="22"/>
      <c r="F63" s="22"/>
      <c r="G63" s="22"/>
      <c r="H63" s="22"/>
      <c r="I63" s="22"/>
      <c r="J63" s="22"/>
      <c r="K63" s="22"/>
      <c r="L63" s="22"/>
      <c r="M63" s="22"/>
      <c r="N63" s="22"/>
    </row>
    <row r="64" spans="4:14" ht="15" customHeight="1" x14ac:dyDescent="0.2">
      <c r="D64" s="22" t="s">
        <v>67</v>
      </c>
      <c r="E64" s="22"/>
      <c r="F64" s="22"/>
      <c r="G64" s="22"/>
      <c r="H64" s="22"/>
      <c r="I64" s="22"/>
      <c r="J64" s="22"/>
      <c r="K64" s="22"/>
      <c r="L64" s="22"/>
      <c r="M64" s="22"/>
      <c r="N64" s="22"/>
    </row>
    <row r="65" spans="4:14" ht="15" customHeight="1" x14ac:dyDescent="0.2">
      <c r="D65" s="22" t="s">
        <v>68</v>
      </c>
      <c r="E65" s="22"/>
      <c r="F65" s="22"/>
      <c r="G65" s="22"/>
      <c r="H65" s="22"/>
      <c r="I65" s="22"/>
      <c r="J65" s="22"/>
      <c r="K65" s="22"/>
      <c r="L65" s="22"/>
      <c r="M65" s="22"/>
      <c r="N65" s="22"/>
    </row>
    <row r="66" spans="4:14" ht="15" customHeight="1" x14ac:dyDescent="0.2">
      <c r="D66" s="22" t="s">
        <v>69</v>
      </c>
      <c r="E66" s="22"/>
      <c r="F66" s="22"/>
      <c r="G66" s="22"/>
      <c r="H66" s="22"/>
      <c r="I66" s="22"/>
      <c r="J66" s="22"/>
      <c r="K66" s="22"/>
      <c r="L66" s="22"/>
      <c r="M66" s="22"/>
      <c r="N66" s="22"/>
    </row>
    <row r="67" spans="4:14" ht="15" customHeight="1" x14ac:dyDescent="0.2">
      <c r="D67" s="22" t="s">
        <v>70</v>
      </c>
      <c r="E67" s="22"/>
      <c r="F67" s="22"/>
      <c r="G67" s="22"/>
      <c r="H67" s="22"/>
      <c r="I67" s="22"/>
      <c r="J67" s="22"/>
      <c r="K67" s="22"/>
      <c r="L67" s="22"/>
      <c r="M67" s="22"/>
      <c r="N67" s="22"/>
    </row>
    <row r="68" spans="4:14" ht="15" customHeight="1" x14ac:dyDescent="0.2">
      <c r="D68" s="22" t="s">
        <v>71</v>
      </c>
      <c r="E68" s="22"/>
      <c r="F68" s="22"/>
      <c r="G68" s="22"/>
      <c r="H68" s="22"/>
      <c r="I68" s="22"/>
      <c r="J68" s="22"/>
      <c r="K68" s="22"/>
      <c r="L68" s="22"/>
      <c r="M68" s="22"/>
      <c r="N68" s="22"/>
    </row>
    <row r="69" spans="4:14" ht="15" customHeight="1" x14ac:dyDescent="0.2">
      <c r="D69" s="22" t="s">
        <v>72</v>
      </c>
      <c r="E69" s="22"/>
      <c r="F69" s="22"/>
      <c r="G69" s="22"/>
      <c r="H69" s="22"/>
      <c r="I69" s="22"/>
      <c r="J69" s="22"/>
      <c r="K69" s="22"/>
      <c r="L69" s="22"/>
      <c r="M69" s="22"/>
      <c r="N69" s="22"/>
    </row>
    <row r="70" spans="4:14" ht="15" customHeight="1" x14ac:dyDescent="0.2">
      <c r="D70" s="22" t="s">
        <v>73</v>
      </c>
      <c r="E70" s="22"/>
      <c r="F70" s="22"/>
      <c r="G70" s="22"/>
      <c r="H70" s="22"/>
      <c r="I70" s="22"/>
      <c r="J70" s="22"/>
      <c r="K70" s="22"/>
      <c r="L70" s="22"/>
      <c r="M70" s="22"/>
      <c r="N70" s="22"/>
    </row>
    <row r="71" spans="4:14" ht="15" customHeight="1" x14ac:dyDescent="0.2">
      <c r="D71" s="22" t="s">
        <v>74</v>
      </c>
      <c r="E71" s="22"/>
      <c r="F71" s="22"/>
      <c r="G71" s="22"/>
      <c r="H71" s="22"/>
      <c r="I71" s="22"/>
      <c r="J71" s="22"/>
      <c r="K71" s="22"/>
      <c r="L71" s="22"/>
      <c r="M71" s="22"/>
      <c r="N71" s="22"/>
    </row>
    <row r="72" spans="4:14" ht="15" customHeight="1" x14ac:dyDescent="0.2">
      <c r="D72" s="22" t="s">
        <v>75</v>
      </c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4:14" ht="15" customHeight="1" x14ac:dyDescent="0.2">
      <c r="D73" s="22" t="s">
        <v>76</v>
      </c>
      <c r="E73" s="22"/>
      <c r="F73" s="22"/>
      <c r="G73" s="22"/>
      <c r="H73" s="22"/>
      <c r="I73" s="22"/>
      <c r="J73" s="22"/>
      <c r="K73" s="22"/>
      <c r="L73" s="22"/>
      <c r="M73" s="22"/>
      <c r="N73" s="22"/>
    </row>
    <row r="74" spans="4:14" ht="15" customHeight="1" x14ac:dyDescent="0.2">
      <c r="D74" s="22" t="s">
        <v>77</v>
      </c>
      <c r="E74" s="22"/>
      <c r="F74" s="22"/>
      <c r="G74" s="22"/>
      <c r="H74" s="22"/>
      <c r="I74" s="22"/>
      <c r="J74" s="22"/>
      <c r="K74" s="22"/>
      <c r="L74" s="22"/>
      <c r="M74" s="22"/>
      <c r="N74" s="22"/>
    </row>
    <row r="75" spans="4:14" ht="15" customHeight="1" x14ac:dyDescent="0.2">
      <c r="D75" s="22" t="s">
        <v>78</v>
      </c>
      <c r="E75" s="22"/>
      <c r="F75" s="22"/>
      <c r="G75" s="22"/>
      <c r="H75" s="22"/>
      <c r="I75" s="22"/>
      <c r="J75" s="22"/>
      <c r="K75" s="22"/>
      <c r="L75" s="22"/>
      <c r="M75" s="22"/>
      <c r="N75" s="22"/>
    </row>
    <row r="76" spans="4:14" ht="15" customHeight="1" x14ac:dyDescent="0.2">
      <c r="D76" s="22" t="s">
        <v>79</v>
      </c>
      <c r="E76" s="22"/>
      <c r="F76" s="22"/>
      <c r="G76" s="22"/>
      <c r="H76" s="22"/>
      <c r="I76" s="22"/>
      <c r="J76" s="22"/>
      <c r="K76" s="22"/>
      <c r="L76" s="22"/>
      <c r="M76" s="22"/>
      <c r="N76" s="22"/>
    </row>
    <row r="77" spans="4:14" ht="15" customHeight="1" x14ac:dyDescent="0.2">
      <c r="D77" s="22" t="s">
        <v>80</v>
      </c>
      <c r="E77" s="22"/>
      <c r="F77" s="22"/>
      <c r="G77" s="22"/>
      <c r="H77" s="22"/>
      <c r="I77" s="22"/>
      <c r="J77" s="22"/>
      <c r="K77" s="22"/>
      <c r="L77" s="22"/>
      <c r="M77" s="22"/>
      <c r="N77" s="22"/>
    </row>
    <row r="78" spans="4:14" ht="15" customHeight="1" x14ac:dyDescent="0.2">
      <c r="D78" s="22" t="s">
        <v>81</v>
      </c>
      <c r="E78" s="22"/>
      <c r="F78" s="22"/>
      <c r="G78" s="22"/>
      <c r="H78" s="22"/>
      <c r="I78" s="22"/>
      <c r="J78" s="22"/>
      <c r="K78" s="22"/>
      <c r="L78" s="22"/>
      <c r="M78" s="22"/>
      <c r="N78" s="22"/>
    </row>
    <row r="79" spans="4:14" ht="15" customHeight="1" x14ac:dyDescent="0.2">
      <c r="D79" s="22" t="s">
        <v>82</v>
      </c>
      <c r="E79" s="22"/>
      <c r="F79" s="22"/>
      <c r="G79" s="22"/>
      <c r="H79" s="22"/>
      <c r="I79" s="22"/>
      <c r="J79" s="22"/>
      <c r="K79" s="22"/>
      <c r="L79" s="22"/>
      <c r="M79" s="22"/>
      <c r="N79" s="22"/>
    </row>
    <row r="80" spans="4:14" ht="15" customHeight="1" x14ac:dyDescent="0.2">
      <c r="D80" s="22" t="s">
        <v>83</v>
      </c>
      <c r="E80" s="22"/>
      <c r="F80" s="22"/>
      <c r="G80" s="22"/>
      <c r="H80" s="22"/>
      <c r="I80" s="22"/>
      <c r="J80" s="22"/>
      <c r="K80" s="22"/>
      <c r="L80" s="22"/>
      <c r="M80" s="22"/>
      <c r="N80" s="22"/>
    </row>
    <row r="81" spans="1:14" ht="15" customHeight="1" x14ac:dyDescent="0.2">
      <c r="D81" s="22" t="s">
        <v>84</v>
      </c>
      <c r="E81" s="22"/>
      <c r="F81" s="22"/>
      <c r="G81" s="22"/>
      <c r="H81" s="22"/>
      <c r="I81" s="22"/>
      <c r="J81" s="22"/>
      <c r="K81" s="22"/>
      <c r="L81" s="22"/>
      <c r="M81" s="22"/>
      <c r="N81" s="22"/>
    </row>
    <row r="82" spans="1:14" ht="15" customHeight="1" x14ac:dyDescent="0.2">
      <c r="D82" s="22" t="s">
        <v>85</v>
      </c>
      <c r="E82" s="22"/>
      <c r="F82" s="22"/>
      <c r="G82" s="22"/>
      <c r="H82" s="22"/>
      <c r="I82" s="22"/>
      <c r="J82" s="22"/>
      <c r="K82" s="22"/>
      <c r="L82" s="22"/>
      <c r="M82" s="22"/>
      <c r="N82" s="22"/>
    </row>
    <row r="83" spans="1:14" ht="15" customHeight="1" x14ac:dyDescent="0.2">
      <c r="D83" s="22" t="s">
        <v>86</v>
      </c>
      <c r="E83" s="22"/>
      <c r="F83" s="22"/>
      <c r="G83" s="22"/>
      <c r="H83" s="22"/>
      <c r="I83" s="22"/>
      <c r="J83" s="22"/>
      <c r="K83" s="22"/>
      <c r="L83" s="22"/>
      <c r="M83" s="22"/>
      <c r="N83" s="22"/>
    </row>
    <row r="84" spans="1:14" ht="15" customHeight="1" x14ac:dyDescent="0.2">
      <c r="D84" s="22" t="s">
        <v>87</v>
      </c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" customHeight="1" x14ac:dyDescent="0.2">
      <c r="D85" s="22" t="s">
        <v>88</v>
      </c>
      <c r="E85" s="22"/>
      <c r="F85" s="22"/>
      <c r="G85" s="22"/>
      <c r="H85" s="22"/>
      <c r="I85" s="22"/>
      <c r="J85" s="22"/>
      <c r="K85" s="22"/>
      <c r="L85" s="22"/>
      <c r="M85" s="22"/>
      <c r="N85" s="22"/>
    </row>
    <row r="86" spans="1:14" ht="15" customHeight="1" x14ac:dyDescent="0.2">
      <c r="D86" s="24" t="s">
        <v>89</v>
      </c>
      <c r="E86" s="24"/>
      <c r="F86" s="24"/>
      <c r="G86" s="24"/>
      <c r="H86" s="24"/>
      <c r="I86" s="24"/>
      <c r="J86" s="24"/>
      <c r="K86" s="24"/>
      <c r="L86" s="24"/>
      <c r="M86" s="24"/>
      <c r="N86" s="24"/>
    </row>
    <row r="87" spans="1:14" ht="15" customHeight="1" x14ac:dyDescent="0.2">
      <c r="D87" s="22" t="s">
        <v>90</v>
      </c>
      <c r="E87" s="22"/>
      <c r="F87" s="22"/>
      <c r="G87" s="22"/>
      <c r="H87" s="22"/>
      <c r="I87" s="22"/>
      <c r="J87" s="22"/>
      <c r="K87" s="22"/>
      <c r="L87" s="22"/>
      <c r="M87" s="22"/>
      <c r="N87" s="22"/>
    </row>
    <row r="88" spans="1:14" ht="15" customHeight="1" x14ac:dyDescent="0.2">
      <c r="D88" s="22" t="s">
        <v>91</v>
      </c>
      <c r="E88" s="22"/>
      <c r="F88" s="22"/>
      <c r="G88" s="22"/>
      <c r="H88" s="22"/>
      <c r="I88" s="22"/>
      <c r="J88" s="22"/>
      <c r="K88" s="22"/>
      <c r="L88" s="22"/>
      <c r="M88" s="22"/>
      <c r="N88" s="22"/>
    </row>
    <row r="89" spans="1:14" ht="15" customHeight="1" x14ac:dyDescent="0.2">
      <c r="D89" s="22" t="s">
        <v>92</v>
      </c>
      <c r="E89" s="22"/>
      <c r="F89" s="22"/>
      <c r="G89" s="22"/>
      <c r="H89" s="22"/>
      <c r="I89" s="22"/>
      <c r="J89" s="22"/>
      <c r="K89" s="22"/>
      <c r="L89" s="22"/>
      <c r="M89" s="22"/>
      <c r="N89" s="22"/>
    </row>
    <row r="90" spans="1:14" ht="15" customHeight="1" x14ac:dyDescent="0.2">
      <c r="D90" s="22" t="s">
        <v>93</v>
      </c>
      <c r="E90" s="22"/>
      <c r="F90" s="22"/>
      <c r="G90" s="22"/>
      <c r="H90" s="22"/>
      <c r="I90" s="22"/>
      <c r="J90" s="22"/>
      <c r="K90" s="22"/>
      <c r="L90" s="22"/>
      <c r="M90" s="22"/>
      <c r="N90" s="22"/>
    </row>
    <row r="91" spans="1:14" ht="15" customHeight="1" x14ac:dyDescent="0.2">
      <c r="A91" s="9" t="s">
        <v>94</v>
      </c>
      <c r="B91" s="9"/>
      <c r="C91" s="9"/>
      <c r="D91" s="22" t="s">
        <v>95</v>
      </c>
      <c r="E91" s="22"/>
      <c r="F91" s="22"/>
      <c r="G91" s="22"/>
      <c r="H91" s="22"/>
      <c r="I91" s="22"/>
      <c r="J91" s="22"/>
      <c r="K91" s="22"/>
      <c r="L91" s="22"/>
      <c r="M91" s="22"/>
      <c r="N91" s="22"/>
    </row>
    <row r="92" spans="1:14" ht="15" customHeight="1" x14ac:dyDescent="0.2">
      <c r="A92" s="9" t="s">
        <v>96</v>
      </c>
      <c r="B92" s="9"/>
      <c r="C92" s="9"/>
      <c r="D92" s="22" t="s">
        <v>97</v>
      </c>
      <c r="E92" s="22"/>
      <c r="F92" s="22"/>
      <c r="G92" s="22"/>
      <c r="H92" s="22"/>
      <c r="I92" s="22"/>
      <c r="J92" s="22"/>
      <c r="K92" s="22"/>
      <c r="L92" s="22"/>
      <c r="M92" s="22"/>
      <c r="N92" s="22"/>
    </row>
    <row r="93" spans="1:14" ht="15" customHeight="1" x14ac:dyDescent="0.2">
      <c r="A93" s="9" t="s">
        <v>98</v>
      </c>
      <c r="B93" s="9"/>
      <c r="C93" s="9"/>
      <c r="D93" s="23">
        <v>300</v>
      </c>
      <c r="E93" s="23"/>
      <c r="F93" s="23"/>
      <c r="G93" s="23"/>
      <c r="H93" s="23"/>
      <c r="I93" s="23"/>
      <c r="J93" s="23"/>
      <c r="K93" s="23"/>
      <c r="L93" s="23"/>
      <c r="M93" s="23"/>
      <c r="N93" s="23"/>
    </row>
    <row r="94" spans="1:14" ht="15" customHeight="1" x14ac:dyDescent="0.2">
      <c r="A94" s="9" t="s">
        <v>99</v>
      </c>
      <c r="B94" s="9"/>
      <c r="C94" s="9"/>
      <c r="D94" s="22" t="s">
        <v>100</v>
      </c>
      <c r="E94" s="22"/>
      <c r="F94" s="22"/>
      <c r="G94" s="22"/>
      <c r="H94" s="22"/>
      <c r="I94" s="22"/>
      <c r="J94" s="22"/>
      <c r="K94" s="22"/>
      <c r="L94" s="22"/>
      <c r="M94" s="22"/>
      <c r="N94" s="22"/>
    </row>
    <row r="95" spans="1:14" ht="24.95" customHeight="1" x14ac:dyDescent="0.2">
      <c r="A95" s="15" t="s">
        <v>101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</row>
    <row r="96" spans="1:14" ht="15" customHeight="1" x14ac:dyDescent="0.2">
      <c r="A96" s="9" t="s">
        <v>102</v>
      </c>
      <c r="B96" s="9"/>
      <c r="C96" s="9"/>
      <c r="D96" s="17" t="s">
        <v>103</v>
      </c>
    </row>
    <row r="97" spans="1:14" ht="15" customHeight="1" x14ac:dyDescent="0.2">
      <c r="A97" s="9" t="s">
        <v>104</v>
      </c>
      <c r="B97" s="9"/>
      <c r="C97" s="9"/>
      <c r="D97" s="14">
        <v>51827</v>
      </c>
      <c r="E97" s="9" t="s">
        <v>105</v>
      </c>
      <c r="F97" s="9"/>
      <c r="G97" s="9"/>
      <c r="H97" s="14">
        <v>6246122</v>
      </c>
      <c r="I97" s="9" t="s">
        <v>106</v>
      </c>
      <c r="J97" s="9"/>
      <c r="K97" s="9"/>
      <c r="L97" s="14">
        <v>1</v>
      </c>
      <c r="M97" s="14"/>
      <c r="N97" s="14"/>
    </row>
    <row r="98" spans="1:14" ht="15" customHeight="1" x14ac:dyDescent="0.2">
      <c r="A98" s="18" t="s">
        <v>107</v>
      </c>
      <c r="B98" s="18"/>
      <c r="C98" s="18"/>
      <c r="D98" s="21">
        <v>31.35</v>
      </c>
      <c r="E98" s="9" t="s">
        <v>108</v>
      </c>
      <c r="F98" s="9"/>
      <c r="G98" s="9"/>
      <c r="H98" s="16">
        <v>2.85</v>
      </c>
      <c r="I98" s="9" t="s">
        <v>109</v>
      </c>
      <c r="J98" s="9"/>
      <c r="K98" s="9"/>
      <c r="L98" s="16">
        <v>11.59</v>
      </c>
      <c r="M98" s="16"/>
      <c r="N98" s="16"/>
    </row>
    <row r="99" spans="1:14" ht="15" customHeight="1" x14ac:dyDescent="0.2">
      <c r="A99" s="9" t="s">
        <v>110</v>
      </c>
      <c r="B99" s="9"/>
      <c r="C99" s="9"/>
      <c r="D99" s="16">
        <v>34.200000000000003</v>
      </c>
      <c r="E99" s="9" t="s">
        <v>111</v>
      </c>
      <c r="F99" s="9"/>
      <c r="G99" s="9"/>
      <c r="H99" s="17" t="s">
        <v>112</v>
      </c>
      <c r="I99" s="18" t="s">
        <v>113</v>
      </c>
      <c r="J99" s="18"/>
      <c r="K99" s="18"/>
      <c r="L99" s="19" t="s">
        <v>114</v>
      </c>
      <c r="M99" s="19"/>
      <c r="N99" s="19"/>
    </row>
    <row r="100" spans="1:14" ht="15" customHeight="1" x14ac:dyDescent="0.2">
      <c r="A100" s="9" t="s">
        <v>115</v>
      </c>
      <c r="B100" s="9"/>
      <c r="C100" s="9"/>
      <c r="D100" s="16">
        <v>-2.85</v>
      </c>
      <c r="E100" s="9" t="s">
        <v>116</v>
      </c>
      <c r="F100" s="9"/>
      <c r="G100" s="9"/>
      <c r="H100" s="17" t="s">
        <v>117</v>
      </c>
      <c r="I100" s="18" t="s">
        <v>118</v>
      </c>
      <c r="J100" s="18"/>
      <c r="K100" s="18"/>
      <c r="L100" s="19" t="s">
        <v>119</v>
      </c>
      <c r="M100" s="19"/>
      <c r="N100" s="19"/>
    </row>
    <row r="102" spans="1:14" ht="15" customHeight="1" x14ac:dyDescent="0.2">
      <c r="A102" s="18" t="s">
        <v>120</v>
      </c>
      <c r="B102" s="18"/>
      <c r="C102" s="18"/>
      <c r="D102" s="21">
        <v>12</v>
      </c>
      <c r="E102" s="18" t="s">
        <v>121</v>
      </c>
      <c r="F102" s="18"/>
      <c r="G102" s="18"/>
      <c r="H102" s="21">
        <v>2.4115380000000002</v>
      </c>
      <c r="I102" s="9" t="s">
        <v>122</v>
      </c>
      <c r="J102" s="9"/>
      <c r="K102" s="9"/>
      <c r="L102" s="17" t="s">
        <v>123</v>
      </c>
      <c r="M102" s="17"/>
      <c r="N102" s="17"/>
    </row>
    <row r="103" spans="1:14" ht="15" customHeight="1" x14ac:dyDescent="0.2">
      <c r="A103" s="18" t="s">
        <v>124</v>
      </c>
      <c r="B103" s="18"/>
      <c r="C103" s="18"/>
      <c r="D103" s="21">
        <v>1.249004</v>
      </c>
      <c r="E103" s="18" t="s">
        <v>125</v>
      </c>
      <c r="F103" s="18"/>
      <c r="G103" s="18"/>
      <c r="H103" s="21">
        <v>3.5577329999999998</v>
      </c>
      <c r="I103" s="9" t="s">
        <v>126</v>
      </c>
      <c r="J103" s="9"/>
      <c r="K103" s="9"/>
      <c r="L103" s="17" t="s">
        <v>127</v>
      </c>
      <c r="M103" s="17"/>
      <c r="N103" s="17"/>
    </row>
    <row r="104" spans="1:14" ht="15" customHeight="1" x14ac:dyDescent="0.2">
      <c r="A104" s="9" t="s">
        <v>128</v>
      </c>
      <c r="B104" s="9"/>
      <c r="C104" s="9"/>
      <c r="D104" s="17" t="s">
        <v>129</v>
      </c>
      <c r="E104" s="9" t="s">
        <v>130</v>
      </c>
      <c r="F104" s="9"/>
      <c r="G104" s="9"/>
      <c r="H104" s="16">
        <v>0.92510300000000001</v>
      </c>
      <c r="I104" s="9" t="s">
        <v>131</v>
      </c>
      <c r="J104" s="9"/>
      <c r="K104" s="9"/>
      <c r="L104" s="17" t="s">
        <v>132</v>
      </c>
      <c r="M104" s="17"/>
      <c r="N104" s="17"/>
    </row>
    <row r="105" spans="1:14" ht="15" customHeight="1" x14ac:dyDescent="0.2">
      <c r="A105" s="9" t="s">
        <v>133</v>
      </c>
      <c r="B105" s="9"/>
      <c r="C105" s="9"/>
      <c r="D105" s="17" t="s">
        <v>129</v>
      </c>
      <c r="E105" s="9" t="s">
        <v>134</v>
      </c>
      <c r="F105" s="9"/>
      <c r="G105" s="9"/>
      <c r="H105" s="16">
        <v>4.0307779999999998</v>
      </c>
    </row>
    <row r="107" spans="1:14" ht="15" customHeight="1" x14ac:dyDescent="0.2">
      <c r="A107" s="9" t="s">
        <v>135</v>
      </c>
      <c r="B107" s="9"/>
      <c r="C107" s="9"/>
      <c r="D107" s="16">
        <v>0.97406599999999999</v>
      </c>
      <c r="E107" s="9" t="s">
        <v>136</v>
      </c>
      <c r="F107" s="9"/>
      <c r="G107" s="9"/>
      <c r="H107" s="16">
        <v>-0.75567899999999999</v>
      </c>
      <c r="I107" s="9" t="s">
        <v>137</v>
      </c>
      <c r="J107" s="9"/>
      <c r="K107" s="9"/>
      <c r="L107" s="16">
        <v>-0.88416899999999998</v>
      </c>
      <c r="M107" s="16"/>
      <c r="N107" s="16"/>
    </row>
    <row r="108" spans="1:14" ht="15" customHeight="1" x14ac:dyDescent="0.2">
      <c r="A108" s="9" t="s">
        <v>138</v>
      </c>
      <c r="B108" s="9"/>
      <c r="C108" s="9"/>
      <c r="D108" s="17" t="s">
        <v>139</v>
      </c>
      <c r="E108" s="9" t="s">
        <v>140</v>
      </c>
      <c r="F108" s="9"/>
      <c r="G108" s="9"/>
      <c r="H108" s="17" t="s">
        <v>141</v>
      </c>
      <c r="I108" s="18" t="s">
        <v>142</v>
      </c>
      <c r="J108" s="18"/>
      <c r="K108" s="18"/>
      <c r="L108" s="19" t="s">
        <v>143</v>
      </c>
      <c r="M108" s="19"/>
      <c r="N108" s="19"/>
    </row>
    <row r="110" spans="1:14" ht="15" customHeight="1" x14ac:dyDescent="0.2">
      <c r="A110" s="18" t="s">
        <v>144</v>
      </c>
      <c r="B110" s="18"/>
      <c r="C110" s="18"/>
      <c r="D110" s="20">
        <v>13</v>
      </c>
      <c r="E110" s="9" t="s">
        <v>145</v>
      </c>
      <c r="F110" s="9"/>
      <c r="G110" s="9"/>
      <c r="H110" s="17" t="s">
        <v>146</v>
      </c>
      <c r="I110" s="9" t="s">
        <v>147</v>
      </c>
      <c r="J110" s="9"/>
      <c r="K110" s="9"/>
      <c r="L110" s="17" t="s">
        <v>148</v>
      </c>
      <c r="M110" s="17"/>
      <c r="N110" s="17"/>
    </row>
    <row r="111" spans="1:14" ht="15" customHeight="1" x14ac:dyDescent="0.2">
      <c r="A111" s="9" t="s">
        <v>149</v>
      </c>
      <c r="B111" s="9"/>
      <c r="C111" s="9"/>
      <c r="D111" s="14">
        <v>20</v>
      </c>
      <c r="E111" s="18" t="s">
        <v>150</v>
      </c>
      <c r="F111" s="18"/>
      <c r="G111" s="18"/>
      <c r="H111" s="19" t="s">
        <v>151</v>
      </c>
      <c r="I111" s="9" t="s">
        <v>152</v>
      </c>
      <c r="J111" s="9"/>
      <c r="K111" s="9"/>
      <c r="L111" s="17" t="s">
        <v>153</v>
      </c>
      <c r="M111" s="17"/>
      <c r="N111" s="17"/>
    </row>
    <row r="112" spans="1:14" ht="15" customHeight="1" x14ac:dyDescent="0.2">
      <c r="E112" s="9" t="s">
        <v>154</v>
      </c>
      <c r="F112" s="9"/>
      <c r="G112" s="9"/>
      <c r="H112" s="16">
        <v>12</v>
      </c>
      <c r="I112" s="9" t="s">
        <v>155</v>
      </c>
      <c r="J112" s="9"/>
      <c r="K112" s="9"/>
      <c r="L112" s="16">
        <v>-2.85</v>
      </c>
      <c r="M112" s="16"/>
      <c r="N112" s="16"/>
    </row>
    <row r="113" spans="5:14" ht="15" customHeight="1" x14ac:dyDescent="0.2">
      <c r="E113" s="9" t="s">
        <v>156</v>
      </c>
      <c r="F113" s="9"/>
      <c r="G113" s="9"/>
      <c r="H113" s="16">
        <v>2.85</v>
      </c>
      <c r="I113" s="9" t="s">
        <v>157</v>
      </c>
      <c r="J113" s="9"/>
      <c r="K113" s="9"/>
      <c r="L113" s="16">
        <v>-2.85</v>
      </c>
      <c r="M113" s="16"/>
      <c r="N113" s="16"/>
    </row>
    <row r="114" spans="5:14" ht="15" customHeight="1" x14ac:dyDescent="0.2">
      <c r="E114" s="9" t="s">
        <v>158</v>
      </c>
      <c r="F114" s="9"/>
      <c r="G114" s="9"/>
      <c r="H114" s="17" t="s">
        <v>159</v>
      </c>
      <c r="I114" s="18" t="s">
        <v>160</v>
      </c>
      <c r="J114" s="18"/>
      <c r="K114" s="18"/>
      <c r="L114" s="19" t="s">
        <v>161</v>
      </c>
      <c r="M114" s="19"/>
      <c r="N114" s="19"/>
    </row>
    <row r="115" spans="5:14" ht="15" customHeight="1" x14ac:dyDescent="0.2">
      <c r="E115" s="9" t="s">
        <v>162</v>
      </c>
      <c r="F115" s="9"/>
      <c r="G115" s="9"/>
      <c r="H115" s="17" t="s">
        <v>163</v>
      </c>
      <c r="I115" s="9" t="s">
        <v>164</v>
      </c>
      <c r="J115" s="9"/>
      <c r="K115" s="9"/>
      <c r="L115" s="17" t="s">
        <v>165</v>
      </c>
      <c r="M115" s="17"/>
      <c r="N115" s="17"/>
    </row>
    <row r="116" spans="5:14" ht="15" customHeight="1" x14ac:dyDescent="0.2">
      <c r="E116" s="9" t="s">
        <v>166</v>
      </c>
      <c r="F116" s="9"/>
      <c r="G116" s="9"/>
      <c r="H116" s="14">
        <v>12</v>
      </c>
      <c r="I116" s="9" t="s">
        <v>167</v>
      </c>
      <c r="J116" s="9"/>
      <c r="K116" s="9"/>
      <c r="L116" s="14">
        <v>1</v>
      </c>
      <c r="M116" s="14"/>
      <c r="N116" s="14"/>
    </row>
    <row r="139" spans="1:14" ht="20.100000000000001" customHeight="1" x14ac:dyDescent="0.2">
      <c r="A139" s="15" t="s">
        <v>168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</row>
    <row r="140" spans="1:14" ht="20.100000000000001" customHeight="1" x14ac:dyDescent="0.2">
      <c r="A140" s="2" t="s">
        <v>169</v>
      </c>
      <c r="B140" s="2" t="s">
        <v>170</v>
      </c>
      <c r="C140" s="2" t="s">
        <v>171</v>
      </c>
      <c r="D140" s="2" t="s">
        <v>172</v>
      </c>
      <c r="E140" s="13" t="s">
        <v>173</v>
      </c>
      <c r="F140" s="13"/>
      <c r="G140" s="2" t="s">
        <v>174</v>
      </c>
      <c r="H140" s="2" t="s">
        <v>175</v>
      </c>
      <c r="I140" s="2" t="s">
        <v>176</v>
      </c>
      <c r="J140" s="13" t="s">
        <v>177</v>
      </c>
      <c r="K140" s="13"/>
      <c r="L140" s="2" t="s">
        <v>178</v>
      </c>
      <c r="M140" s="13" t="s">
        <v>179</v>
      </c>
      <c r="N140" s="13"/>
    </row>
    <row r="141" spans="1:14" ht="15" customHeight="1" x14ac:dyDescent="0.2">
      <c r="A141" s="3" t="s">
        <v>180</v>
      </c>
      <c r="B141" s="4">
        <v>2</v>
      </c>
      <c r="C141" s="3" t="s">
        <v>6</v>
      </c>
      <c r="D141" s="3" t="s">
        <v>181</v>
      </c>
      <c r="E141" s="10" t="s">
        <v>182</v>
      </c>
      <c r="F141" s="10"/>
      <c r="G141" s="5">
        <v>0</v>
      </c>
      <c r="H141" s="3"/>
      <c r="I141" s="3"/>
      <c r="J141" s="10" t="s">
        <v>180</v>
      </c>
      <c r="K141" s="10"/>
      <c r="L141" s="3" t="s">
        <v>183</v>
      </c>
      <c r="M141" s="10" t="s">
        <v>184</v>
      </c>
      <c r="N141" s="10"/>
    </row>
    <row r="142" spans="1:14" ht="15" customHeight="1" x14ac:dyDescent="0.2">
      <c r="A142" s="1" t="s">
        <v>185</v>
      </c>
      <c r="B142" s="6">
        <v>3</v>
      </c>
      <c r="C142" s="1" t="s">
        <v>6</v>
      </c>
      <c r="D142" s="1" t="s">
        <v>186</v>
      </c>
      <c r="E142" s="9" t="s">
        <v>182</v>
      </c>
      <c r="F142" s="9"/>
      <c r="G142" s="7">
        <v>0</v>
      </c>
      <c r="H142" s="1"/>
      <c r="I142" s="1"/>
      <c r="J142" s="9" t="s">
        <v>185</v>
      </c>
      <c r="K142" s="9"/>
      <c r="L142" s="1" t="s">
        <v>183</v>
      </c>
      <c r="M142" s="9" t="s">
        <v>187</v>
      </c>
      <c r="N142" s="9"/>
    </row>
    <row r="143" spans="1:14" ht="15" customHeight="1" x14ac:dyDescent="0.2">
      <c r="A143" s="3" t="s">
        <v>188</v>
      </c>
      <c r="B143" s="4">
        <v>4</v>
      </c>
      <c r="C143" s="3" t="s">
        <v>6</v>
      </c>
      <c r="D143" s="3" t="s">
        <v>181</v>
      </c>
      <c r="E143" s="10" t="s">
        <v>182</v>
      </c>
      <c r="F143" s="10"/>
      <c r="G143" s="5">
        <v>0</v>
      </c>
      <c r="H143" s="3"/>
      <c r="I143" s="3"/>
      <c r="J143" s="10" t="s">
        <v>188</v>
      </c>
      <c r="K143" s="10"/>
      <c r="L143" s="3" t="s">
        <v>183</v>
      </c>
      <c r="M143" s="10" t="s">
        <v>184</v>
      </c>
      <c r="N143" s="10"/>
    </row>
    <row r="144" spans="1:14" ht="15" customHeight="1" x14ac:dyDescent="0.2">
      <c r="A144" s="1" t="s">
        <v>189</v>
      </c>
      <c r="B144" s="6">
        <v>5</v>
      </c>
      <c r="C144" s="1" t="s">
        <v>6</v>
      </c>
      <c r="D144" s="1" t="s">
        <v>181</v>
      </c>
      <c r="E144" s="9" t="s">
        <v>190</v>
      </c>
      <c r="F144" s="9"/>
      <c r="G144" s="7">
        <v>0</v>
      </c>
      <c r="H144" s="1"/>
      <c r="I144" s="1"/>
      <c r="J144" s="9" t="s">
        <v>189</v>
      </c>
      <c r="K144" s="9"/>
      <c r="L144" s="1" t="s">
        <v>183</v>
      </c>
      <c r="M144" s="9" t="s">
        <v>191</v>
      </c>
      <c r="N144" s="9"/>
    </row>
    <row r="145" spans="1:14" ht="15" customHeight="1" x14ac:dyDescent="0.2">
      <c r="A145" s="3" t="s">
        <v>192</v>
      </c>
      <c r="B145" s="4">
        <v>6</v>
      </c>
      <c r="C145" s="3" t="s">
        <v>6</v>
      </c>
      <c r="D145" s="3" t="s">
        <v>181</v>
      </c>
      <c r="E145" s="10" t="s">
        <v>190</v>
      </c>
      <c r="F145" s="10"/>
      <c r="G145" s="5">
        <v>0</v>
      </c>
      <c r="H145" s="3"/>
      <c r="I145" s="3"/>
      <c r="J145" s="10" t="s">
        <v>192</v>
      </c>
      <c r="K145" s="10"/>
      <c r="L145" s="3" t="s">
        <v>183</v>
      </c>
      <c r="M145" s="10" t="s">
        <v>191</v>
      </c>
      <c r="N145" s="10"/>
    </row>
    <row r="146" spans="1:14" ht="15" customHeight="1" x14ac:dyDescent="0.2">
      <c r="A146" s="1" t="s">
        <v>193</v>
      </c>
      <c r="B146" s="6">
        <v>7</v>
      </c>
      <c r="C146" s="1" t="s">
        <v>6</v>
      </c>
      <c r="D146" s="1" t="s">
        <v>181</v>
      </c>
      <c r="E146" s="9" t="s">
        <v>190</v>
      </c>
      <c r="F146" s="9"/>
      <c r="G146" s="7">
        <v>0</v>
      </c>
      <c r="H146" s="1"/>
      <c r="I146" s="1"/>
      <c r="J146" s="9" t="s">
        <v>193</v>
      </c>
      <c r="K146" s="9"/>
      <c r="L146" s="1" t="s">
        <v>183</v>
      </c>
      <c r="M146" s="9" t="s">
        <v>191</v>
      </c>
      <c r="N146" s="9"/>
    </row>
    <row r="147" spans="1:14" ht="15" customHeight="1" x14ac:dyDescent="0.2">
      <c r="A147" s="3" t="s">
        <v>194</v>
      </c>
      <c r="B147" s="4">
        <v>8</v>
      </c>
      <c r="C147" s="3" t="s">
        <v>6</v>
      </c>
      <c r="D147" s="3" t="s">
        <v>181</v>
      </c>
      <c r="E147" s="10" t="s">
        <v>190</v>
      </c>
      <c r="F147" s="10"/>
      <c r="G147" s="5">
        <v>0</v>
      </c>
      <c r="H147" s="3"/>
      <c r="I147" s="3"/>
      <c r="J147" s="10" t="s">
        <v>194</v>
      </c>
      <c r="K147" s="10"/>
      <c r="L147" s="3" t="s">
        <v>183</v>
      </c>
      <c r="M147" s="10" t="s">
        <v>191</v>
      </c>
      <c r="N147" s="10"/>
    </row>
    <row r="148" spans="1:14" ht="15" customHeight="1" x14ac:dyDescent="0.2">
      <c r="A148" s="1" t="s">
        <v>195</v>
      </c>
      <c r="B148" s="6">
        <v>9</v>
      </c>
      <c r="C148" s="1" t="s">
        <v>6</v>
      </c>
      <c r="D148" s="1" t="s">
        <v>186</v>
      </c>
      <c r="E148" s="9" t="s">
        <v>196</v>
      </c>
      <c r="F148" s="9"/>
      <c r="G148" s="7">
        <v>0</v>
      </c>
      <c r="H148" s="1"/>
      <c r="I148" s="1"/>
      <c r="J148" s="9" t="s">
        <v>195</v>
      </c>
      <c r="K148" s="9"/>
      <c r="L148" s="1" t="s">
        <v>183</v>
      </c>
      <c r="M148" s="9"/>
      <c r="N148" s="9"/>
    </row>
    <row r="149" spans="1:14" ht="15" customHeight="1" x14ac:dyDescent="0.2">
      <c r="A149" s="3" t="s">
        <v>195</v>
      </c>
      <c r="B149" s="4">
        <v>10</v>
      </c>
      <c r="C149" s="3" t="s">
        <v>6</v>
      </c>
      <c r="D149" s="3" t="s">
        <v>186</v>
      </c>
      <c r="E149" s="10" t="s">
        <v>196</v>
      </c>
      <c r="F149" s="10"/>
      <c r="G149" s="5">
        <v>0</v>
      </c>
      <c r="H149" s="3"/>
      <c r="I149" s="3"/>
      <c r="J149" s="10" t="s">
        <v>195</v>
      </c>
      <c r="K149" s="10"/>
      <c r="L149" s="3" t="s">
        <v>183</v>
      </c>
      <c r="M149" s="10"/>
      <c r="N149" s="10"/>
    </row>
    <row r="150" spans="1:14" ht="15" customHeight="1" x14ac:dyDescent="0.2">
      <c r="A150" s="1" t="s">
        <v>197</v>
      </c>
      <c r="B150" s="6">
        <v>11</v>
      </c>
      <c r="C150" s="1" t="s">
        <v>6</v>
      </c>
      <c r="D150" s="1" t="s">
        <v>186</v>
      </c>
      <c r="E150" s="9" t="s">
        <v>196</v>
      </c>
      <c r="F150" s="9"/>
      <c r="G150" s="7">
        <v>0</v>
      </c>
      <c r="H150" s="1"/>
      <c r="I150" s="1"/>
      <c r="J150" s="9" t="s">
        <v>197</v>
      </c>
      <c r="K150" s="9"/>
      <c r="L150" s="1" t="s">
        <v>183</v>
      </c>
      <c r="M150" s="9"/>
      <c r="N150" s="9"/>
    </row>
    <row r="151" spans="1:14" ht="15" customHeight="1" x14ac:dyDescent="0.2">
      <c r="A151" s="3" t="s">
        <v>197</v>
      </c>
      <c r="B151" s="4">
        <v>12</v>
      </c>
      <c r="C151" s="3" t="s">
        <v>6</v>
      </c>
      <c r="D151" s="3" t="s">
        <v>186</v>
      </c>
      <c r="E151" s="10" t="s">
        <v>196</v>
      </c>
      <c r="F151" s="10"/>
      <c r="G151" s="5">
        <v>0</v>
      </c>
      <c r="H151" s="3"/>
      <c r="I151" s="3"/>
      <c r="J151" s="10" t="s">
        <v>197</v>
      </c>
      <c r="K151" s="10"/>
      <c r="L151" s="3" t="s">
        <v>183</v>
      </c>
      <c r="M151" s="10"/>
      <c r="N151" s="10"/>
    </row>
    <row r="152" spans="1:14" ht="15" customHeight="1" x14ac:dyDescent="0.2">
      <c r="A152" s="1" t="s">
        <v>197</v>
      </c>
      <c r="B152" s="6">
        <v>13</v>
      </c>
      <c r="C152" s="1" t="s">
        <v>6</v>
      </c>
      <c r="D152" s="1" t="s">
        <v>186</v>
      </c>
      <c r="E152" s="9" t="s">
        <v>196</v>
      </c>
      <c r="F152" s="9"/>
      <c r="G152" s="7">
        <v>0</v>
      </c>
      <c r="H152" s="1"/>
      <c r="I152" s="1"/>
      <c r="J152" s="9" t="s">
        <v>197</v>
      </c>
      <c r="K152" s="9"/>
      <c r="L152" s="1" t="s">
        <v>183</v>
      </c>
      <c r="M152" s="9"/>
      <c r="N152" s="9"/>
    </row>
    <row r="153" spans="1:14" ht="15" customHeight="1" x14ac:dyDescent="0.2">
      <c r="A153" s="3" t="s">
        <v>198</v>
      </c>
      <c r="B153" s="4">
        <v>14</v>
      </c>
      <c r="C153" s="3" t="s">
        <v>6</v>
      </c>
      <c r="D153" s="3" t="s">
        <v>186</v>
      </c>
      <c r="E153" s="10" t="s">
        <v>199</v>
      </c>
      <c r="F153" s="10"/>
      <c r="G153" s="5">
        <v>0</v>
      </c>
      <c r="H153" s="3"/>
      <c r="I153" s="3"/>
      <c r="J153" s="10" t="s">
        <v>198</v>
      </c>
      <c r="K153" s="10"/>
      <c r="L153" s="3" t="s">
        <v>183</v>
      </c>
      <c r="M153" s="10" t="s">
        <v>200</v>
      </c>
      <c r="N153" s="10"/>
    </row>
    <row r="154" spans="1:14" ht="15" customHeight="1" x14ac:dyDescent="0.2">
      <c r="A154" s="1" t="s">
        <v>198</v>
      </c>
      <c r="B154" s="6">
        <v>15</v>
      </c>
      <c r="C154" s="1" t="s">
        <v>6</v>
      </c>
      <c r="D154" s="1" t="s">
        <v>186</v>
      </c>
      <c r="E154" s="9" t="s">
        <v>196</v>
      </c>
      <c r="F154" s="9"/>
      <c r="G154" s="7">
        <v>0</v>
      </c>
      <c r="H154" s="1"/>
      <c r="I154" s="1"/>
      <c r="J154" s="9" t="s">
        <v>198</v>
      </c>
      <c r="K154" s="9"/>
      <c r="L154" s="1" t="s">
        <v>183</v>
      </c>
      <c r="M154" s="9" t="s">
        <v>200</v>
      </c>
      <c r="N154" s="9"/>
    </row>
    <row r="155" spans="1:14" ht="15" customHeight="1" x14ac:dyDescent="0.2">
      <c r="A155" s="3" t="s">
        <v>198</v>
      </c>
      <c r="B155" s="4">
        <v>16</v>
      </c>
      <c r="C155" s="3" t="s">
        <v>6</v>
      </c>
      <c r="D155" s="3" t="s">
        <v>186</v>
      </c>
      <c r="E155" s="10" t="s">
        <v>196</v>
      </c>
      <c r="F155" s="10"/>
      <c r="G155" s="5">
        <v>0</v>
      </c>
      <c r="H155" s="3"/>
      <c r="I155" s="3"/>
      <c r="J155" s="10" t="s">
        <v>198</v>
      </c>
      <c r="K155" s="10"/>
      <c r="L155" s="3" t="s">
        <v>183</v>
      </c>
      <c r="M155" s="10" t="s">
        <v>200</v>
      </c>
      <c r="N155" s="10"/>
    </row>
    <row r="156" spans="1:14" ht="15" customHeight="1" x14ac:dyDescent="0.2">
      <c r="A156" s="1" t="s">
        <v>198</v>
      </c>
      <c r="B156" s="6">
        <v>17</v>
      </c>
      <c r="C156" s="1" t="s">
        <v>6</v>
      </c>
      <c r="D156" s="1" t="s">
        <v>186</v>
      </c>
      <c r="E156" s="9" t="s">
        <v>196</v>
      </c>
      <c r="F156" s="9"/>
      <c r="G156" s="7">
        <v>0</v>
      </c>
      <c r="H156" s="1"/>
      <c r="I156" s="1"/>
      <c r="J156" s="9" t="s">
        <v>198</v>
      </c>
      <c r="K156" s="9"/>
      <c r="L156" s="1" t="s">
        <v>183</v>
      </c>
      <c r="M156" s="9" t="s">
        <v>200</v>
      </c>
      <c r="N156" s="9"/>
    </row>
    <row r="157" spans="1:14" ht="15" customHeight="1" x14ac:dyDescent="0.2">
      <c r="A157" s="3" t="s">
        <v>198</v>
      </c>
      <c r="B157" s="4">
        <v>18</v>
      </c>
      <c r="C157" s="3" t="s">
        <v>6</v>
      </c>
      <c r="D157" s="3" t="s">
        <v>186</v>
      </c>
      <c r="E157" s="10" t="s">
        <v>196</v>
      </c>
      <c r="F157" s="10"/>
      <c r="G157" s="5">
        <v>0</v>
      </c>
      <c r="H157" s="3"/>
      <c r="I157" s="3"/>
      <c r="J157" s="10" t="s">
        <v>198</v>
      </c>
      <c r="K157" s="10"/>
      <c r="L157" s="3" t="s">
        <v>183</v>
      </c>
      <c r="M157" s="10" t="s">
        <v>200</v>
      </c>
      <c r="N157" s="10"/>
    </row>
    <row r="158" spans="1:14" ht="15" customHeight="1" x14ac:dyDescent="0.2">
      <c r="A158" s="1" t="s">
        <v>201</v>
      </c>
      <c r="B158" s="6">
        <v>19</v>
      </c>
      <c r="C158" s="1" t="s">
        <v>6</v>
      </c>
      <c r="D158" s="1" t="s">
        <v>181</v>
      </c>
      <c r="E158" s="9" t="s">
        <v>182</v>
      </c>
      <c r="F158" s="9"/>
      <c r="G158" s="7">
        <v>0</v>
      </c>
      <c r="H158" s="1"/>
      <c r="I158" s="1"/>
      <c r="J158" s="9" t="s">
        <v>201</v>
      </c>
      <c r="K158" s="9"/>
      <c r="L158" s="1" t="s">
        <v>183</v>
      </c>
      <c r="M158" s="9" t="s">
        <v>184</v>
      </c>
      <c r="N158" s="9"/>
    </row>
    <row r="159" spans="1:14" ht="15" customHeight="1" x14ac:dyDescent="0.2">
      <c r="A159" s="3" t="s">
        <v>202</v>
      </c>
      <c r="B159" s="4">
        <v>20</v>
      </c>
      <c r="C159" s="3" t="s">
        <v>6</v>
      </c>
      <c r="D159" s="3" t="s">
        <v>186</v>
      </c>
      <c r="E159" s="10" t="s">
        <v>196</v>
      </c>
      <c r="F159" s="10"/>
      <c r="G159" s="5">
        <v>0</v>
      </c>
      <c r="H159" s="3"/>
      <c r="I159" s="3"/>
      <c r="J159" s="10" t="s">
        <v>202</v>
      </c>
      <c r="K159" s="10"/>
      <c r="L159" s="3" t="s">
        <v>183</v>
      </c>
      <c r="M159" s="10"/>
      <c r="N159" s="10"/>
    </row>
    <row r="160" spans="1:14" ht="15" customHeight="1" x14ac:dyDescent="0.2">
      <c r="A160" s="1" t="s">
        <v>203</v>
      </c>
      <c r="B160" s="6">
        <v>21</v>
      </c>
      <c r="C160" s="1" t="s">
        <v>6</v>
      </c>
      <c r="D160" s="1" t="s">
        <v>186</v>
      </c>
      <c r="E160" s="9" t="s">
        <v>199</v>
      </c>
      <c r="F160" s="9"/>
      <c r="G160" s="7">
        <v>0</v>
      </c>
      <c r="H160" s="1"/>
      <c r="I160" s="1"/>
      <c r="J160" s="9" t="s">
        <v>203</v>
      </c>
      <c r="K160" s="9"/>
      <c r="L160" s="1" t="s">
        <v>183</v>
      </c>
      <c r="M160" s="9" t="s">
        <v>204</v>
      </c>
      <c r="N160" s="9"/>
    </row>
    <row r="161" spans="1:14" ht="20.100000000000001" customHeight="1" x14ac:dyDescent="0.2">
      <c r="A161" s="12" t="s">
        <v>205</v>
      </c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</row>
    <row r="162" spans="1:14" ht="20.100000000000001" customHeight="1" x14ac:dyDescent="0.2">
      <c r="A162" s="2" t="s">
        <v>177</v>
      </c>
      <c r="B162" s="2" t="s">
        <v>206</v>
      </c>
      <c r="C162" s="2" t="s">
        <v>171</v>
      </c>
      <c r="D162" s="2" t="s">
        <v>172</v>
      </c>
      <c r="E162" s="2" t="s">
        <v>207</v>
      </c>
      <c r="F162" s="2" t="s">
        <v>173</v>
      </c>
      <c r="G162" s="2" t="s">
        <v>174</v>
      </c>
      <c r="H162" s="2" t="s">
        <v>170</v>
      </c>
      <c r="I162" s="2" t="s">
        <v>208</v>
      </c>
      <c r="J162" s="2" t="s">
        <v>209</v>
      </c>
      <c r="K162" s="2" t="s">
        <v>210</v>
      </c>
      <c r="L162" s="2" t="s">
        <v>211</v>
      </c>
      <c r="M162" s="13" t="s">
        <v>179</v>
      </c>
      <c r="N162" s="13"/>
    </row>
    <row r="163" spans="1:14" ht="15" customHeight="1" x14ac:dyDescent="0.2">
      <c r="A163" s="3" t="s">
        <v>212</v>
      </c>
      <c r="B163" s="4">
        <v>1</v>
      </c>
      <c r="C163" s="3"/>
      <c r="D163" s="3" t="s">
        <v>213</v>
      </c>
      <c r="E163" s="3"/>
      <c r="F163" s="3"/>
      <c r="G163" s="3"/>
      <c r="H163" s="3"/>
      <c r="I163" s="5">
        <v>0</v>
      </c>
      <c r="J163" s="5">
        <v>0</v>
      </c>
      <c r="K163" s="5">
        <v>300</v>
      </c>
      <c r="L163" s="5">
        <v>300</v>
      </c>
      <c r="M163" s="10"/>
      <c r="N163" s="10"/>
    </row>
    <row r="164" spans="1:14" ht="15" customHeight="1" x14ac:dyDescent="0.2">
      <c r="A164" s="1" t="s">
        <v>180</v>
      </c>
      <c r="B164" s="6">
        <v>2</v>
      </c>
      <c r="C164" s="1" t="s">
        <v>6</v>
      </c>
      <c r="D164" s="1" t="s">
        <v>181</v>
      </c>
      <c r="E164" s="1" t="s">
        <v>214</v>
      </c>
      <c r="F164" s="1" t="s">
        <v>215</v>
      </c>
      <c r="G164" s="7">
        <v>64.92</v>
      </c>
      <c r="H164" s="6">
        <v>2</v>
      </c>
      <c r="I164" s="7">
        <v>0</v>
      </c>
      <c r="J164" s="7">
        <v>0</v>
      </c>
      <c r="K164" s="7">
        <v>0</v>
      </c>
      <c r="L164" s="7">
        <v>300</v>
      </c>
      <c r="M164" s="9" t="s">
        <v>184</v>
      </c>
      <c r="N164" s="9"/>
    </row>
    <row r="165" spans="1:14" ht="15" customHeight="1" x14ac:dyDescent="0.2">
      <c r="A165" s="3" t="s">
        <v>185</v>
      </c>
      <c r="B165" s="4">
        <v>3</v>
      </c>
      <c r="C165" s="3" t="s">
        <v>6</v>
      </c>
      <c r="D165" s="3" t="s">
        <v>186</v>
      </c>
      <c r="E165" s="3" t="s">
        <v>216</v>
      </c>
      <c r="F165" s="3" t="s">
        <v>215</v>
      </c>
      <c r="G165" s="5">
        <v>64.349999999999994</v>
      </c>
      <c r="H165" s="4">
        <v>3</v>
      </c>
      <c r="I165" s="5">
        <v>0</v>
      </c>
      <c r="J165" s="5">
        <v>0</v>
      </c>
      <c r="K165" s="5">
        <v>-2.85</v>
      </c>
      <c r="L165" s="5">
        <v>297.14999999999998</v>
      </c>
      <c r="M165" s="10" t="s">
        <v>187</v>
      </c>
      <c r="N165" s="10"/>
    </row>
    <row r="166" spans="1:14" ht="15" customHeight="1" x14ac:dyDescent="0.2">
      <c r="A166" s="1" t="s">
        <v>188</v>
      </c>
      <c r="B166" s="6">
        <v>4</v>
      </c>
      <c r="C166" s="1" t="s">
        <v>6</v>
      </c>
      <c r="D166" s="1" t="s">
        <v>181</v>
      </c>
      <c r="E166" s="1" t="s">
        <v>214</v>
      </c>
      <c r="F166" s="1" t="s">
        <v>215</v>
      </c>
      <c r="G166" s="7">
        <v>66.459999999999994</v>
      </c>
      <c r="H166" s="6">
        <v>4</v>
      </c>
      <c r="I166" s="7">
        <v>0</v>
      </c>
      <c r="J166" s="7">
        <v>0</v>
      </c>
      <c r="K166" s="7">
        <v>0</v>
      </c>
      <c r="L166" s="7">
        <v>297.14999999999998</v>
      </c>
      <c r="M166" s="9" t="s">
        <v>184</v>
      </c>
      <c r="N166" s="9"/>
    </row>
    <row r="167" spans="1:14" ht="15" customHeight="1" x14ac:dyDescent="0.2">
      <c r="A167" s="3" t="s">
        <v>189</v>
      </c>
      <c r="B167" s="4">
        <v>5</v>
      </c>
      <c r="C167" s="3" t="s">
        <v>6</v>
      </c>
      <c r="D167" s="3" t="s">
        <v>181</v>
      </c>
      <c r="E167" s="3" t="s">
        <v>214</v>
      </c>
      <c r="F167" s="3" t="s">
        <v>217</v>
      </c>
      <c r="G167" s="5">
        <v>65.94</v>
      </c>
      <c r="H167" s="4">
        <v>5</v>
      </c>
      <c r="I167" s="5">
        <v>0</v>
      </c>
      <c r="J167" s="5">
        <v>0</v>
      </c>
      <c r="K167" s="5">
        <v>0</v>
      </c>
      <c r="L167" s="5">
        <v>297.14999999999998</v>
      </c>
      <c r="M167" s="10" t="s">
        <v>191</v>
      </c>
      <c r="N167" s="10"/>
    </row>
    <row r="168" spans="1:14" ht="15" customHeight="1" x14ac:dyDescent="0.2">
      <c r="A168" s="1" t="s">
        <v>192</v>
      </c>
      <c r="B168" s="6">
        <v>6</v>
      </c>
      <c r="C168" s="1" t="s">
        <v>6</v>
      </c>
      <c r="D168" s="1" t="s">
        <v>181</v>
      </c>
      <c r="E168" s="1" t="s">
        <v>214</v>
      </c>
      <c r="F168" s="1" t="s">
        <v>217</v>
      </c>
      <c r="G168" s="7">
        <v>65.930000000000007</v>
      </c>
      <c r="H168" s="6">
        <v>6</v>
      </c>
      <c r="I168" s="7">
        <v>0</v>
      </c>
      <c r="J168" s="7">
        <v>0</v>
      </c>
      <c r="K168" s="7">
        <v>0</v>
      </c>
      <c r="L168" s="7">
        <v>297.14999999999998</v>
      </c>
      <c r="M168" s="9" t="s">
        <v>191</v>
      </c>
      <c r="N168" s="9"/>
    </row>
    <row r="169" spans="1:14" ht="15" customHeight="1" x14ac:dyDescent="0.2">
      <c r="A169" s="3" t="s">
        <v>193</v>
      </c>
      <c r="B169" s="4">
        <v>7</v>
      </c>
      <c r="C169" s="3" t="s">
        <v>6</v>
      </c>
      <c r="D169" s="3" t="s">
        <v>181</v>
      </c>
      <c r="E169" s="3" t="s">
        <v>214</v>
      </c>
      <c r="F169" s="3" t="s">
        <v>217</v>
      </c>
      <c r="G169" s="5">
        <v>65.92</v>
      </c>
      <c r="H169" s="4">
        <v>7</v>
      </c>
      <c r="I169" s="5">
        <v>0</v>
      </c>
      <c r="J169" s="5">
        <v>0</v>
      </c>
      <c r="K169" s="5">
        <v>0</v>
      </c>
      <c r="L169" s="5">
        <v>297.14999999999998</v>
      </c>
      <c r="M169" s="10" t="s">
        <v>191</v>
      </c>
      <c r="N169" s="10"/>
    </row>
    <row r="170" spans="1:14" ht="15" customHeight="1" x14ac:dyDescent="0.2">
      <c r="A170" s="1" t="s">
        <v>194</v>
      </c>
      <c r="B170" s="6">
        <v>8</v>
      </c>
      <c r="C170" s="1" t="s">
        <v>6</v>
      </c>
      <c r="D170" s="1" t="s">
        <v>181</v>
      </c>
      <c r="E170" s="1" t="s">
        <v>214</v>
      </c>
      <c r="F170" s="1" t="s">
        <v>217</v>
      </c>
      <c r="G170" s="7">
        <v>65.930000000000007</v>
      </c>
      <c r="H170" s="6">
        <v>8</v>
      </c>
      <c r="I170" s="7">
        <v>0</v>
      </c>
      <c r="J170" s="7">
        <v>0</v>
      </c>
      <c r="K170" s="7">
        <v>0</v>
      </c>
      <c r="L170" s="7">
        <v>297.14999999999998</v>
      </c>
      <c r="M170" s="9" t="s">
        <v>191</v>
      </c>
      <c r="N170" s="9"/>
    </row>
    <row r="171" spans="1:14" ht="15" customHeight="1" x14ac:dyDescent="0.2">
      <c r="A171" s="3" t="s">
        <v>195</v>
      </c>
      <c r="B171" s="4">
        <v>9</v>
      </c>
      <c r="C171" s="3" t="s">
        <v>6</v>
      </c>
      <c r="D171" s="3" t="s">
        <v>186</v>
      </c>
      <c r="E171" s="3" t="s">
        <v>216</v>
      </c>
      <c r="F171" s="3" t="s">
        <v>218</v>
      </c>
      <c r="G171" s="5">
        <v>66.709999999999994</v>
      </c>
      <c r="H171" s="4">
        <v>9</v>
      </c>
      <c r="I171" s="5">
        <v>0</v>
      </c>
      <c r="J171" s="5">
        <v>0</v>
      </c>
      <c r="K171" s="5">
        <v>2.34</v>
      </c>
      <c r="L171" s="5">
        <v>299.49</v>
      </c>
      <c r="M171" s="10"/>
      <c r="N171" s="10"/>
    </row>
    <row r="172" spans="1:14" ht="15" customHeight="1" x14ac:dyDescent="0.2">
      <c r="A172" s="1" t="s">
        <v>195</v>
      </c>
      <c r="B172" s="6">
        <v>10</v>
      </c>
      <c r="C172" s="1" t="s">
        <v>6</v>
      </c>
      <c r="D172" s="1" t="s">
        <v>186</v>
      </c>
      <c r="E172" s="1" t="s">
        <v>216</v>
      </c>
      <c r="F172" s="1" t="s">
        <v>218</v>
      </c>
      <c r="G172" s="7">
        <v>66.709999999999994</v>
      </c>
      <c r="H172" s="6">
        <v>10</v>
      </c>
      <c r="I172" s="7">
        <v>0</v>
      </c>
      <c r="J172" s="7">
        <v>0</v>
      </c>
      <c r="K172" s="7">
        <v>2.37</v>
      </c>
      <c r="L172" s="7">
        <v>301.86</v>
      </c>
      <c r="M172" s="9"/>
      <c r="N172" s="9"/>
    </row>
    <row r="173" spans="1:14" ht="15" customHeight="1" x14ac:dyDescent="0.2">
      <c r="A173" s="3" t="s">
        <v>197</v>
      </c>
      <c r="B173" s="4">
        <v>11</v>
      </c>
      <c r="C173" s="3" t="s">
        <v>6</v>
      </c>
      <c r="D173" s="3" t="s">
        <v>186</v>
      </c>
      <c r="E173" s="3" t="s">
        <v>216</v>
      </c>
      <c r="F173" s="3" t="s">
        <v>218</v>
      </c>
      <c r="G173" s="5">
        <v>66.7</v>
      </c>
      <c r="H173" s="4">
        <v>11</v>
      </c>
      <c r="I173" s="5">
        <v>0</v>
      </c>
      <c r="J173" s="5">
        <v>0</v>
      </c>
      <c r="K173" s="5">
        <v>2.31</v>
      </c>
      <c r="L173" s="5">
        <v>304.17</v>
      </c>
      <c r="M173" s="10"/>
      <c r="N173" s="10"/>
    </row>
    <row r="174" spans="1:14" ht="15" customHeight="1" x14ac:dyDescent="0.2">
      <c r="A174" s="1" t="s">
        <v>197</v>
      </c>
      <c r="B174" s="6">
        <v>12</v>
      </c>
      <c r="C174" s="1" t="s">
        <v>6</v>
      </c>
      <c r="D174" s="1" t="s">
        <v>186</v>
      </c>
      <c r="E174" s="1" t="s">
        <v>216</v>
      </c>
      <c r="F174" s="1" t="s">
        <v>218</v>
      </c>
      <c r="G174" s="7">
        <v>66.7</v>
      </c>
      <c r="H174" s="6">
        <v>12</v>
      </c>
      <c r="I174" s="7">
        <v>0</v>
      </c>
      <c r="J174" s="7">
        <v>0</v>
      </c>
      <c r="K174" s="7">
        <v>2.2799999999999998</v>
      </c>
      <c r="L174" s="7">
        <v>306.45</v>
      </c>
      <c r="M174" s="9"/>
      <c r="N174" s="9"/>
    </row>
    <row r="175" spans="1:14" ht="15" customHeight="1" x14ac:dyDescent="0.2">
      <c r="A175" s="3" t="s">
        <v>197</v>
      </c>
      <c r="B175" s="4">
        <v>13</v>
      </c>
      <c r="C175" s="3" t="s">
        <v>6</v>
      </c>
      <c r="D175" s="3" t="s">
        <v>186</v>
      </c>
      <c r="E175" s="3" t="s">
        <v>216</v>
      </c>
      <c r="F175" s="3" t="s">
        <v>218</v>
      </c>
      <c r="G175" s="5">
        <v>66.7</v>
      </c>
      <c r="H175" s="4">
        <v>13</v>
      </c>
      <c r="I175" s="5">
        <v>0</v>
      </c>
      <c r="J175" s="5">
        <v>0</v>
      </c>
      <c r="K175" s="5">
        <v>0.72</v>
      </c>
      <c r="L175" s="5">
        <v>307.17</v>
      </c>
      <c r="M175" s="10"/>
      <c r="N175" s="10"/>
    </row>
    <row r="176" spans="1:14" ht="15" customHeight="1" x14ac:dyDescent="0.2">
      <c r="A176" s="1" t="s">
        <v>198</v>
      </c>
      <c r="B176" s="6">
        <v>14</v>
      </c>
      <c r="C176" s="1" t="s">
        <v>6</v>
      </c>
      <c r="D176" s="1" t="s">
        <v>186</v>
      </c>
      <c r="E176" s="1" t="s">
        <v>216</v>
      </c>
      <c r="F176" s="1" t="s">
        <v>219</v>
      </c>
      <c r="G176" s="7">
        <v>66.5</v>
      </c>
      <c r="H176" s="6">
        <v>14</v>
      </c>
      <c r="I176" s="7">
        <v>0</v>
      </c>
      <c r="J176" s="7">
        <v>0</v>
      </c>
      <c r="K176" s="7">
        <v>0.08</v>
      </c>
      <c r="L176" s="7">
        <v>307.25</v>
      </c>
      <c r="M176" s="9" t="s">
        <v>200</v>
      </c>
      <c r="N176" s="9"/>
    </row>
    <row r="177" spans="1:14" ht="15" customHeight="1" x14ac:dyDescent="0.2">
      <c r="A177" s="3" t="s">
        <v>198</v>
      </c>
      <c r="B177" s="4">
        <v>15</v>
      </c>
      <c r="C177" s="3" t="s">
        <v>6</v>
      </c>
      <c r="D177" s="3" t="s">
        <v>186</v>
      </c>
      <c r="E177" s="3" t="s">
        <v>216</v>
      </c>
      <c r="F177" s="3" t="s">
        <v>218</v>
      </c>
      <c r="G177" s="5">
        <v>66.5</v>
      </c>
      <c r="H177" s="4">
        <v>15</v>
      </c>
      <c r="I177" s="5">
        <v>0</v>
      </c>
      <c r="J177" s="5">
        <v>0</v>
      </c>
      <c r="K177" s="5">
        <v>1.68</v>
      </c>
      <c r="L177" s="5">
        <v>308.93</v>
      </c>
      <c r="M177" s="10" t="s">
        <v>200</v>
      </c>
      <c r="N177" s="10"/>
    </row>
    <row r="178" spans="1:14" ht="15" customHeight="1" x14ac:dyDescent="0.2">
      <c r="A178" s="1" t="s">
        <v>198</v>
      </c>
      <c r="B178" s="6">
        <v>16</v>
      </c>
      <c r="C178" s="1" t="s">
        <v>6</v>
      </c>
      <c r="D178" s="1" t="s">
        <v>186</v>
      </c>
      <c r="E178" s="1" t="s">
        <v>216</v>
      </c>
      <c r="F178" s="1" t="s">
        <v>218</v>
      </c>
      <c r="G178" s="7">
        <v>66.5</v>
      </c>
      <c r="H178" s="6">
        <v>16</v>
      </c>
      <c r="I178" s="7">
        <v>0</v>
      </c>
      <c r="J178" s="7">
        <v>0</v>
      </c>
      <c r="K178" s="7">
        <v>1.71</v>
      </c>
      <c r="L178" s="7">
        <v>310.64</v>
      </c>
      <c r="M178" s="9" t="s">
        <v>200</v>
      </c>
      <c r="N178" s="9"/>
    </row>
    <row r="179" spans="1:14" ht="15" customHeight="1" x14ac:dyDescent="0.2">
      <c r="A179" s="3" t="s">
        <v>198</v>
      </c>
      <c r="B179" s="4">
        <v>17</v>
      </c>
      <c r="C179" s="3" t="s">
        <v>6</v>
      </c>
      <c r="D179" s="3" t="s">
        <v>186</v>
      </c>
      <c r="E179" s="3" t="s">
        <v>216</v>
      </c>
      <c r="F179" s="3" t="s">
        <v>218</v>
      </c>
      <c r="G179" s="5">
        <v>66.5</v>
      </c>
      <c r="H179" s="4">
        <v>17</v>
      </c>
      <c r="I179" s="5">
        <v>0</v>
      </c>
      <c r="J179" s="5">
        <v>0</v>
      </c>
      <c r="K179" s="5">
        <v>1.74</v>
      </c>
      <c r="L179" s="5">
        <v>312.38</v>
      </c>
      <c r="M179" s="10" t="s">
        <v>200</v>
      </c>
      <c r="N179" s="10"/>
    </row>
    <row r="180" spans="1:14" ht="15" customHeight="1" x14ac:dyDescent="0.2">
      <c r="A180" s="1" t="s">
        <v>198</v>
      </c>
      <c r="B180" s="6">
        <v>18</v>
      </c>
      <c r="C180" s="1" t="s">
        <v>6</v>
      </c>
      <c r="D180" s="1" t="s">
        <v>186</v>
      </c>
      <c r="E180" s="1" t="s">
        <v>216</v>
      </c>
      <c r="F180" s="1" t="s">
        <v>218</v>
      </c>
      <c r="G180" s="7">
        <v>66.5</v>
      </c>
      <c r="H180" s="6">
        <v>18</v>
      </c>
      <c r="I180" s="7">
        <v>0</v>
      </c>
      <c r="J180" s="7">
        <v>0</v>
      </c>
      <c r="K180" s="7">
        <v>1.71</v>
      </c>
      <c r="L180" s="7">
        <v>314.08999999999997</v>
      </c>
      <c r="M180" s="9" t="s">
        <v>200</v>
      </c>
      <c r="N180" s="9"/>
    </row>
    <row r="181" spans="1:14" ht="15" customHeight="1" x14ac:dyDescent="0.2">
      <c r="A181" s="3" t="s">
        <v>201</v>
      </c>
      <c r="B181" s="4">
        <v>19</v>
      </c>
      <c r="C181" s="3" t="s">
        <v>6</v>
      </c>
      <c r="D181" s="3" t="s">
        <v>181</v>
      </c>
      <c r="E181" s="3" t="s">
        <v>214</v>
      </c>
      <c r="F181" s="3" t="s">
        <v>215</v>
      </c>
      <c r="G181" s="5">
        <v>97.91</v>
      </c>
      <c r="H181" s="4">
        <v>19</v>
      </c>
      <c r="I181" s="5">
        <v>0</v>
      </c>
      <c r="J181" s="5">
        <v>0</v>
      </c>
      <c r="K181" s="5">
        <v>0</v>
      </c>
      <c r="L181" s="5">
        <v>314.08999999999997</v>
      </c>
      <c r="M181" s="10" t="s">
        <v>184</v>
      </c>
      <c r="N181" s="10"/>
    </row>
    <row r="182" spans="1:14" ht="15" customHeight="1" x14ac:dyDescent="0.2">
      <c r="A182" s="1" t="s">
        <v>202</v>
      </c>
      <c r="B182" s="6">
        <v>20</v>
      </c>
      <c r="C182" s="1" t="s">
        <v>6</v>
      </c>
      <c r="D182" s="1" t="s">
        <v>186</v>
      </c>
      <c r="E182" s="1" t="s">
        <v>216</v>
      </c>
      <c r="F182" s="1" t="s">
        <v>218</v>
      </c>
      <c r="G182" s="7">
        <v>101.91</v>
      </c>
      <c r="H182" s="6">
        <v>20</v>
      </c>
      <c r="I182" s="7">
        <v>0</v>
      </c>
      <c r="J182" s="7">
        <v>0</v>
      </c>
      <c r="K182" s="7">
        <v>12</v>
      </c>
      <c r="L182" s="7">
        <v>326.08999999999997</v>
      </c>
      <c r="M182" s="9"/>
      <c r="N182" s="9"/>
    </row>
    <row r="183" spans="1:14" ht="15" customHeight="1" x14ac:dyDescent="0.2">
      <c r="A183" s="3" t="s">
        <v>203</v>
      </c>
      <c r="B183" s="4">
        <v>21</v>
      </c>
      <c r="C183" s="3" t="s">
        <v>6</v>
      </c>
      <c r="D183" s="3" t="s">
        <v>186</v>
      </c>
      <c r="E183" s="3" t="s">
        <v>216</v>
      </c>
      <c r="F183" s="3" t="s">
        <v>219</v>
      </c>
      <c r="G183" s="5">
        <v>100.54</v>
      </c>
      <c r="H183" s="4">
        <v>21</v>
      </c>
      <c r="I183" s="5">
        <v>0</v>
      </c>
      <c r="J183" s="5">
        <v>0</v>
      </c>
      <c r="K183" s="5">
        <v>5.26</v>
      </c>
      <c r="L183" s="5">
        <v>331.35</v>
      </c>
      <c r="M183" s="10" t="s">
        <v>204</v>
      </c>
      <c r="N183" s="10"/>
    </row>
    <row r="184" spans="1:14" ht="20.100000000000001" customHeight="1" x14ac:dyDescent="0.2">
      <c r="A184" s="11"/>
      <c r="B184" s="11"/>
      <c r="C184" s="11"/>
      <c r="D184" s="11"/>
      <c r="E184" s="11"/>
      <c r="F184" s="11"/>
      <c r="G184" s="11"/>
      <c r="H184" s="11"/>
      <c r="I184" s="8">
        <f>SUM(Sheet1!I163:I183)</f>
        <v>0</v>
      </c>
      <c r="J184" s="8">
        <f>SUM(Sheet1!J163:J183)</f>
        <v>0</v>
      </c>
      <c r="K184" s="8">
        <v>31.35</v>
      </c>
      <c r="L184" s="8">
        <v>331.35</v>
      </c>
      <c r="M184" s="11"/>
      <c r="N184" s="11"/>
    </row>
  </sheetData>
  <mergeCells count="284"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65:N65"/>
    <mergeCell ref="D66:N66"/>
    <mergeCell ref="D67:N67"/>
    <mergeCell ref="D68:N68"/>
    <mergeCell ref="D69:N69"/>
    <mergeCell ref="D70:N70"/>
    <mergeCell ref="D71:N71"/>
    <mergeCell ref="D72:N72"/>
    <mergeCell ref="D73:N73"/>
    <mergeCell ref="D74:N74"/>
    <mergeCell ref="D75:N75"/>
    <mergeCell ref="D76:N76"/>
    <mergeCell ref="D77:N77"/>
    <mergeCell ref="D78:N78"/>
    <mergeCell ref="D79:N79"/>
    <mergeCell ref="D80:N80"/>
    <mergeCell ref="D81:N81"/>
    <mergeCell ref="D82:N82"/>
    <mergeCell ref="D83:N83"/>
    <mergeCell ref="D84:N84"/>
    <mergeCell ref="D85:N85"/>
    <mergeCell ref="D86:N86"/>
    <mergeCell ref="D87:N87"/>
    <mergeCell ref="D88:N88"/>
    <mergeCell ref="D89:N89"/>
    <mergeCell ref="D90:N90"/>
    <mergeCell ref="A91:C91"/>
    <mergeCell ref="D91:N91"/>
    <mergeCell ref="A92:C92"/>
    <mergeCell ref="D92:N92"/>
    <mergeCell ref="A93:C93"/>
    <mergeCell ref="D93:N93"/>
    <mergeCell ref="A94:C94"/>
    <mergeCell ref="D94:N94"/>
    <mergeCell ref="A95:N95"/>
    <mergeCell ref="A96:C96"/>
    <mergeCell ref="D96"/>
    <mergeCell ref="A97:C97"/>
    <mergeCell ref="D97"/>
    <mergeCell ref="E97:G97"/>
    <mergeCell ref="H97"/>
    <mergeCell ref="I97:K97"/>
    <mergeCell ref="L97:N97"/>
    <mergeCell ref="A98:C98"/>
    <mergeCell ref="D98"/>
    <mergeCell ref="E98:G98"/>
    <mergeCell ref="H98"/>
    <mergeCell ref="I98:K98"/>
    <mergeCell ref="L98:N98"/>
    <mergeCell ref="A99:C99"/>
    <mergeCell ref="D99"/>
    <mergeCell ref="E99:G99"/>
    <mergeCell ref="H99"/>
    <mergeCell ref="I99:K99"/>
    <mergeCell ref="L99:N99"/>
    <mergeCell ref="A100:C100"/>
    <mergeCell ref="D100"/>
    <mergeCell ref="E100:G100"/>
    <mergeCell ref="H100"/>
    <mergeCell ref="I100:K100"/>
    <mergeCell ref="L100:N100"/>
    <mergeCell ref="A102:C102"/>
    <mergeCell ref="D102"/>
    <mergeCell ref="E102:G102"/>
    <mergeCell ref="H102"/>
    <mergeCell ref="I102:K102"/>
    <mergeCell ref="L102:N102"/>
    <mergeCell ref="A103:C103"/>
    <mergeCell ref="D103"/>
    <mergeCell ref="E103:G103"/>
    <mergeCell ref="H103"/>
    <mergeCell ref="I103:K103"/>
    <mergeCell ref="L103:N103"/>
    <mergeCell ref="A104:C104"/>
    <mergeCell ref="D104"/>
    <mergeCell ref="E104:G104"/>
    <mergeCell ref="H104"/>
    <mergeCell ref="I104:K104"/>
    <mergeCell ref="L104:N104"/>
    <mergeCell ref="A105:C105"/>
    <mergeCell ref="D105"/>
    <mergeCell ref="E105:G105"/>
    <mergeCell ref="H105"/>
    <mergeCell ref="A107:C107"/>
    <mergeCell ref="D107"/>
    <mergeCell ref="E107:G107"/>
    <mergeCell ref="H107"/>
    <mergeCell ref="I107:K107"/>
    <mergeCell ref="L107:N107"/>
    <mergeCell ref="A108:C108"/>
    <mergeCell ref="D108"/>
    <mergeCell ref="E108:G108"/>
    <mergeCell ref="H108"/>
    <mergeCell ref="I108:K108"/>
    <mergeCell ref="L108:N108"/>
    <mergeCell ref="A110:C110"/>
    <mergeCell ref="D110"/>
    <mergeCell ref="E110:G110"/>
    <mergeCell ref="H110"/>
    <mergeCell ref="I110:K110"/>
    <mergeCell ref="L110:N110"/>
    <mergeCell ref="A111:C111"/>
    <mergeCell ref="D111"/>
    <mergeCell ref="E111:G111"/>
    <mergeCell ref="H111"/>
    <mergeCell ref="I111:K111"/>
    <mergeCell ref="L111:N111"/>
    <mergeCell ref="E112:G112"/>
    <mergeCell ref="H112"/>
    <mergeCell ref="I112:K112"/>
    <mergeCell ref="L112:N112"/>
    <mergeCell ref="E113:G113"/>
    <mergeCell ref="H113"/>
    <mergeCell ref="I113:K113"/>
    <mergeCell ref="L113:N113"/>
    <mergeCell ref="E114:G114"/>
    <mergeCell ref="H114"/>
    <mergeCell ref="I114:K114"/>
    <mergeCell ref="L114:N114"/>
    <mergeCell ref="E115:G115"/>
    <mergeCell ref="H115"/>
    <mergeCell ref="I115:K115"/>
    <mergeCell ref="L115:N115"/>
    <mergeCell ref="E116:G116"/>
    <mergeCell ref="H116"/>
    <mergeCell ref="I116:K116"/>
    <mergeCell ref="L116:N116"/>
    <mergeCell ref="A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A161:N161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170:N170"/>
    <mergeCell ref="M171:N171"/>
    <mergeCell ref="M172:N172"/>
    <mergeCell ref="M173:N173"/>
    <mergeCell ref="M174:N174"/>
    <mergeCell ref="M175:N175"/>
    <mergeCell ref="M176:N176"/>
    <mergeCell ref="M177:N177"/>
    <mergeCell ref="M178:N178"/>
    <mergeCell ref="M179:N179"/>
    <mergeCell ref="M180:N180"/>
    <mergeCell ref="M181:N181"/>
    <mergeCell ref="M182:N182"/>
    <mergeCell ref="M183:N183"/>
    <mergeCell ref="A184:H184"/>
    <mergeCell ref="M184:N184"/>
  </mergeCells>
  <pageMargins left="0.7" right="0.7" top="0.7" bottom="0.7" header="0.3" footer="0.3"/>
  <pageSetup paperSize="9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316968216:Demo Account</dc:subject>
  <dc:creator>XM Global Limited</dc:creator>
  <dc:description>Trade report contains current client positions and exposure</dc:description>
  <cp:lastModifiedBy>Tanapong Srikaew</cp:lastModifiedBy>
  <dcterms:created xsi:type="dcterms:W3CDTF">2026-08-02T10:25:00Z</dcterms:created>
  <dcterms:modified xsi:type="dcterms:W3CDTF">2026-09-11T08:17:12Z</dcterms:modified>
  <cp:category>Reports</cp:category>
</cp:coreProperties>
</file>